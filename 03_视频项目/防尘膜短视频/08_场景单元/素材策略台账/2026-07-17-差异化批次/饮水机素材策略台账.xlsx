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484e3d973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视频策略库" sheetId="1" r:id="R4a8bd0f1742740b9"/>
    <x:sheet xmlns:r="http://schemas.openxmlformats.org/officeDocument/2006/relationships" name="策略总览" sheetId="2" r:id="Rb0278b27a6eb482b"/>
    <x:sheet xmlns:r="http://schemas.openxmlformats.org/officeDocument/2006/relationships" name="提示词档案" sheetId="3" r:id="Rcd05b99362b24e08"/>
    <x:sheet xmlns:r="http://schemas.openxmlformats.org/officeDocument/2006/relationships" name="淘汰记录" sheetId="4" r:id="Re094b74208eb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"/>
    <x:numFmt numFmtId="201" formatCode="¥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</x:fills>
  <x:borders count="4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d05e96e104296" /><Relationship Type="http://schemas.openxmlformats.org/officeDocument/2006/relationships/theme" Target="/xl/theme/theme1.xml" Id="R53bf3582c01f4091" /><Relationship Type="http://schemas.openxmlformats.org/officeDocument/2006/relationships/sharedStrings" Target="/xl/sharedStrings.xml" Id="Rb2861f65942e4b72" /><Relationship Type="http://schemas.openxmlformats.org/officeDocument/2006/relationships/worksheet" Target="/xl/worksheets/sheet1.xml" Id="R4a8bd0f1742740b9" /><Relationship Type="http://schemas.openxmlformats.org/officeDocument/2006/relationships/worksheet" Target="/xl/worksheets/sheet2.xml" Id="Rb0278b27a6eb482b" /><Relationship Type="http://schemas.openxmlformats.org/officeDocument/2006/relationships/worksheet" Target="/xl/worksheets/sheet3.xml" Id="Rcd05b99362b24e08" /><Relationship Type="http://schemas.openxmlformats.org/officeDocument/2006/relationships/worksheet" Target="/xl/worksheets/sheet4.xml" Id="Re094b74208eb426b" /></Relationships>
</file>

<file path=xl/tables/table1.xml><?xml version="1.0" encoding="utf-8"?>
<x:table xmlns:x="http://schemas.openxmlformats.org/spreadsheetml/2006/main" id="1" name="DispenserVideoStrategy" displayName="DispenserVideoStrategy" ref="A3:Y6" headerRowCount="1" totalsRowCount="0" totalsRowShown="0">
  <x:tableColumns count="25">
    <x:tableColumn id="1" name="案例ID"/>
    <x:tableColumn id="2" name="案例名称"/>
    <x:tableColumn id="3" name="物体种类"/>
    <x:tableColumn id="4" name="物体形态"/>
    <x:tableColumn id="5" name="环境场景"/>
    <x:tableColumn id="6" name="覆盖状态"/>
    <x:tableColumn id="7" name="镜头景别"/>
    <x:tableColumn id="8" name="镜头运动"/>
    <x:tableColumn id="9" name="人物/施工状态"/>
    <x:tableColumn id="10" name="视频生成提示词（图生视频）"/>
    <x:tableColumn id="11" name="首帧提示词（文生图）"/>
    <x:tableColumn id="12" name="负面提示词"/>
    <x:tableColumn id="13" name="唯一组合指纹"/>
    <x:tableColumn id="14" name="首帧状态"/>
    <x:tableColumn id="15" name="视频状态"/>
    <x:tableColumn id="16" name="图片哈希"/>
    <x:tableColumn id="17" name="视频哈希"/>
    <x:tableColumn id="18" name="图片模型"/>
    <x:tableColumn id="19" name="视频模型"/>
    <x:tableColumn id="20" name="预计视频费用（元）"/>
    <x:tableColumn id="21" name="生成秒数"/>
    <x:tableColumn id="22" name="任务状态"/>
    <x:tableColumn id="23" name="参考图片"/>
    <x:tableColumn id="24" name="项目相对路径"/>
    <x:tableColumn id="25" name="视频提示词哈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penserPromptArchive" displayName="DispenserPromptArchive" ref="A3:F6" headerRowCount="1" totalsRowCount="0" totalsRowShown="0">
  <x:tableColumns count="6">
    <x:tableColumn id="1" name="案例ID"/>
    <x:tableColumn id="2" name="视频生成提示词（图生视频）"/>
    <x:tableColumn id="3" name="首帧提示词（文生图）"/>
    <x:tableColumn id="4" name="负面提示词"/>
    <x:tableColumn id="5" name="参考图片"/>
    <x:tableColumn id="6" name="视频提示词哈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penserRejects" displayName="DispenserRejects" ref="A3:D6" headerRowCount="1" totalsRowCount="0" totalsRowShown="0">
  <x:tableColumns count="4">
    <x:tableColumn id="1" name="来源批次"/>
    <x:tableColumn id="2" name="案例/类型"/>
    <x:tableColumn id="3" name="淘汰原因"/>
    <x:tableColumn id="4" name="垃圾桶或证据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07c518545a44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0bd0eb68704f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2d4fae13847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70" hidden="0" customWidth="1"/>
    <x:col min="11" max="11" width="70" hidden="0" customWidth="1"/>
    <x:col min="12" max="12" width="70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  <x:col min="24" max="24" width="38" hidden="0" customWidth="1"/>
    <x:col min="25" max="25" width="16" hidden="0" customWidth="1"/>
  </x:cols>
  <x:sheetData>
    <x:row r="1" ht="32" customHeight="1">
      <x:c r="A1" s="3" t="str">
        <x:v>饮水机视频策略库｜七个维度 + 首帧提示词 + 实际视频生成提示词</x:v>
      </x:c>
      <x:c r="B1" s="3" t="str">
        <x:v>饮水机视频策略库｜七个维度 + 首帧提示词 + 实际视频生成提示词</x:v>
      </x:c>
      <x:c r="C1" s="3" t="str">
        <x:v>饮水机视频策略库｜七个维度 + 首帧提示词 + 实际视频生成提示词</x:v>
      </x:c>
      <x:c r="D1" s="3" t="str">
        <x:v>饮水机视频策略库｜七个维度 + 首帧提示词 + 实际视频生成提示词</x:v>
      </x:c>
      <x:c r="E1" s="3" t="str">
        <x:v>饮水机视频策略库｜七个维度 + 首帧提示词 + 实际视频生成提示词</x:v>
      </x:c>
      <x:c r="F1" s="3" t="str">
        <x:v>饮水机视频策略库｜七个维度 + 首帧提示词 + 实际视频生成提示词</x:v>
      </x:c>
      <x:c r="G1" s="3" t="str">
        <x:v>饮水机视频策略库｜七个维度 + 首帧提示词 + 实际视频生成提示词</x:v>
      </x:c>
      <x:c r="H1" s="3" t="str">
        <x:v>饮水机视频策略库｜七个维度 + 首帧提示词 + 实际视频生成提示词</x:v>
      </x:c>
      <x:c r="I1" s="3" t="str">
        <x:v>饮水机视频策略库｜七个维度 + 首帧提示词 + 实际视频生成提示词</x:v>
      </x:c>
      <x:c r="J1" s="3" t="str">
        <x:v>饮水机视频策略库｜七个维度 + 首帧提示词 + 实际视频生成提示词</x:v>
      </x:c>
      <x:c r="K1" s="3" t="str">
        <x:v>饮水机视频策略库｜七个维度 + 首帧提示词 + 实际视频生成提示词</x:v>
      </x:c>
      <x:c r="L1" s="3" t="str">
        <x:v>饮水机视频策略库｜七个维度 + 首帧提示词 + 实际视频生成提示词</x:v>
      </x:c>
      <x:c r="M1" s="3" t="str">
        <x:v>饮水机视频策略库｜七个维度 + 首帧提示词 + 实际视频生成提示词</x:v>
      </x:c>
      <x:c r="N1" s="3" t="str">
        <x:v>饮水机视频策略库｜七个维度 + 首帧提示词 + 实际视频生成提示词</x:v>
      </x:c>
      <x:c r="O1" s="3" t="str">
        <x:v>饮水机视频策略库｜七个维度 + 首帧提示词 + 实际视频生成提示词</x:v>
      </x:c>
      <x:c r="P1" s="3" t="str">
        <x:v>饮水机视频策略库｜七个维度 + 首帧提示词 + 实际视频生成提示词</x:v>
      </x:c>
      <x:c r="Q1" s="3" t="str">
        <x:v>饮水机视频策略库｜七个维度 + 首帧提示词 + 实际视频生成提示词</x:v>
      </x:c>
      <x:c r="R1" s="3" t="str">
        <x:v>饮水机视频策略库｜七个维度 + 首帧提示词 + 实际视频生成提示词</x:v>
      </x:c>
      <x:c r="S1" s="3" t="str">
        <x:v>饮水机视频策略库｜七个维度 + 首帧提示词 + 实际视频生成提示词</x:v>
      </x:c>
      <x:c r="T1" s="3" t="str">
        <x:v>饮水机视频策略库｜七个维度 + 首帧提示词 + 实际视频生成提示词</x:v>
      </x:c>
      <x:c r="U1" s="3" t="str">
        <x:v>饮水机视频策略库｜七个维度 + 首帧提示词 + 实际视频生成提示词</x:v>
      </x:c>
      <x:c r="V1" s="3" t="str">
        <x:v>饮水机视频策略库｜七个维度 + 首帧提示词 + 实际视频生成提示词</x:v>
      </x:c>
      <x:c r="W1" s="3" t="str">
        <x:v>饮水机视频策略库｜七个维度 + 首帧提示词 + 实际视频生成提示词</x:v>
      </x:c>
      <x:c r="X1" s="3" t="str">
        <x:v>饮水机视频策略库｜七个维度 + 首帧提示词 + 实际视频生成提示词</x:v>
      </x:c>
      <x:c r="Y1" s="3" t="str">
        <x:v>饮水机视频策略库｜七个维度 + 首帧提示词 + 实际视频生成提示词</x:v>
      </x:c>
    </x:row>
    <x:row r="3" ht="30" customHeight="1">
      <x:c r="A3" s="10" t="str">
        <x:v>案例ID</x:v>
      </x:c>
      <x:c r="B3" s="15" t="str">
        <x:v>案例名称</x:v>
      </x:c>
      <x:c r="C3" s="15" t="str">
        <x:v>物体种类</x:v>
      </x:c>
      <x:c r="D3" s="15" t="str">
        <x:v>物体形态</x:v>
      </x:c>
      <x:c r="E3" s="15" t="str">
        <x:v>环境场景</x:v>
      </x:c>
      <x:c r="F3" s="15" t="str">
        <x:v>覆盖状态</x:v>
      </x:c>
      <x:c r="G3" s="15" t="str">
        <x:v>镜头景别</x:v>
      </x:c>
      <x:c r="H3" s="15" t="str">
        <x:v>镜头运动</x:v>
      </x:c>
      <x:c r="I3" s="15" t="str">
        <x:v>人物/施工状态</x:v>
      </x:c>
      <x:c r="J3" s="15" t="str">
        <x:v>视频生成提示词（图生视频）</x:v>
      </x:c>
      <x:c r="K3" s="15" t="str">
        <x:v>首帧提示词（文生图）</x:v>
      </x:c>
      <x:c r="L3" s="15" t="str">
        <x:v>负面提示词</x:v>
      </x:c>
      <x:c r="M3" s="15" t="str">
        <x:v>唯一组合指纹</x:v>
      </x:c>
      <x:c r="N3" s="15" t="str">
        <x:v>首帧状态</x:v>
      </x:c>
      <x:c r="O3" s="15" t="str">
        <x:v>视频状态</x:v>
      </x:c>
      <x:c r="P3" s="15" t="str">
        <x:v>图片哈希</x:v>
      </x:c>
      <x:c r="Q3" s="15" t="str">
        <x:v>视频哈希</x:v>
      </x:c>
      <x:c r="R3" s="15" t="str">
        <x:v>图片模型</x:v>
      </x:c>
      <x:c r="S3" s="15" t="str">
        <x:v>视频模型</x:v>
      </x:c>
      <x:c r="T3" s="15" t="str">
        <x:v>预计视频费用（元）</x:v>
      </x:c>
      <x:c r="U3" s="15" t="str">
        <x:v>生成秒数</x:v>
      </x:c>
      <x:c r="V3" s="15" t="str">
        <x:v>任务状态</x:v>
      </x:c>
      <x:c r="W3" s="15" t="str">
        <x:v>参考图片</x:v>
      </x:c>
      <x:c r="X3" s="15" t="str">
        <x:v>项目相对路径</x:v>
      </x:c>
      <x:c r="Y3" s="11" t="str">
        <x:v>视频提示词哈希</x:v>
      </x:c>
    </x:row>
    <x:row r="4" ht="300" customHeight="1">
      <x:c r="A4" s="16" t="str">
        <x:v>v01-s01</x:v>
      </x:c>
      <x:c r="B4" s="16" t="str">
        <x:v>饮水机案例01</x:v>
      </x:c>
      <x:c r="C4" s="16" t="str">
        <x:v>饮水机</x:v>
      </x:c>
      <x:c r="D4" s="16" t="str">
        <x:v>高窄型白色立式饮水机</x:v>
      </x:c>
      <x:c r="E4" s="16" t="str">
        <x:v>冷色调现代办公室茶水间</x:v>
      </x:c>
      <x:c r="F4" s="16" t="str">
        <x:v>一整张笔直透明膜从墙面胶带垂至地面，完整包覆饮水机</x:v>
      </x:c>
      <x:c r="G4" s="16" t="str">
        <x:v>正面对称全身景</x:v>
      </x:c>
      <x:c r="H4" s="16" t="str">
        <x:v>镜头从右向左缓慢横移</x:v>
      </x:c>
      <x:c r="I4" s="16" t="str">
        <x:v>无人物，防护施工已经完成</x:v>
      </x:c>
      <x:c r="J4" s="16" t="str">
        <x:v>以已批准的办公室茶水间首帧为起点，保持高窄型饮水机以及胶带与透明膜的一体式结构不变。镜头从右向左缓慢横移，背景产生轻微视差；整张透明膜始终连接黄色胶带并垂至地面，完整覆盖饮水机，只允许细微表面反光。禁止人物进入、禁止出水、禁止撕裂、禁止第二层膜、禁止新增胶带、禁止饮水机裸露、禁止文字和标识。</x:v>
      </x:c>
      <x:c r="K4" s="16" t="str">
        <x:v>生成一张9:16竖屏写实商业摄影首帧：冷色调现代办公室茶水间内，一台高窄型白色立式饮水机靠浅蓝色墙面摆放。饮水机上方约15厘米的墙面粘贴一条长度有限、笔直完整的黄色美纹胶带；一整张与胶带同宽的透明PE膜永久连接在胶带下沿，从左右端点笔直垂至地面，完整覆盖饮水机顶部、控制面板、出水口、侧边和下柜。无人物，正面对称全身构图，冷色自然日光，背景仅保留不抢眼的纸杯和操作台，无第二条胶带、无破口、无饮水机裸露、无文字、标识或水印。</x:v>
      </x:c>
      <x:c r="L4" s="16" t="str">
        <x:v>破损薄膜、胶带宽于薄膜、第二条胶带、饮水机裸露、出水、人物、双层膜、文字、标识、水印</x:v>
      </x:c>
      <x:c r="M4" s="16" t="str">
        <x:v>7d75d337291e</x:v>
      </x:c>
      <x:c r="N4" s="16" t="str">
        <x:v>通过</x:v>
      </x:c>
      <x:c r="O4" s="16" t="str">
        <x:v>通过</x:v>
      </x:c>
      <x:c r="P4" s="16" t="str">
        <x:v>13e513264b9feae344fecb4235e667fcb411f01f54ecf1351d125ff44088771a</x:v>
      </x:c>
      <x:c r="Q4" s="16" t="str">
        <x:v>3e301610ebab3909b68f7fe3e911362108008c94e1075cbef0bc5533860ae005</x:v>
      </x:c>
      <x:c r="R4" s="16" t="str">
        <x:v>seedream-5.0-lite</x:v>
      </x:c>
      <x:c r="S4" s="16" t="str">
        <x:v>grok-imagine-video-1.5-fast</x:v>
      </x:c>
      <x:c r="T4" s="20" t="n">
        <x:v>0.6</x:v>
      </x:c>
      <x:c r="U4" s="16" t="n">
        <x:v>10</x:v>
      </x:c>
      <x:c r="V4" s="16" t="str">
        <x:v>已完成</x:v>
      </x:c>
      <x:c r="W4" s="16" t="str">
        <x:v>../../05_饮水机_墙面固定_完整膜返工/技术记录（不用看）/approved-candidates/饮水机完整膜基准.png</x:v>
      </x:c>
      <x:c r="X4" s="16" t="str">
        <x:v>03_视频项目/防尘膜短视频/08_场景单元/07_饮水机_差异化场景/技术记录（不用看）</x:v>
      </x:c>
      <x:c r="Y4" s="16" t="str">
        <x:v>311592e0a380bb9d</x:v>
      </x:c>
    </x:row>
    <x:row r="5" ht="300" customHeight="1">
      <x:c r="A5" s="16" t="str">
        <x:v>v02-s01</x:v>
      </x:c>
      <x:c r="B5" s="16" t="str">
        <x:v>饮水机案例02</x:v>
      </x:c>
      <x:c r="C5" s="16" t="str">
        <x:v>饮水机</x:v>
      </x:c>
      <x:c r="D5" s="16" t="str">
        <x:v>紧凑型台面饮水机</x:v>
      </x:c>
      <x:c r="E5" s="16" t="str">
        <x:v>正在翻新的小户型公寓厨房</x:v>
      </x:c>
      <x:c r="F5" s="16" t="str">
        <x:v>透明膜从墙面胶带连续覆盖饮水机和台面，并延伸至橱柜前沿下方</x:v>
      </x:c>
      <x:c r="G5" s="16" t="str">
        <x:v>四分之三中近景</x:v>
      </x:c>
      <x:c r="H5" s="16" t="str">
        <x:v>镜头缓慢向前推进</x:v>
      </x:c>
      <x:c r="I5" s="16" t="str">
        <x:v>专业欧美油漆工站在画面左侧，只检查胶带线且不接触产品</x:v>
      </x:c>
      <x:c r="J5" s="16" t="str">
        <x:v>以已批准的公寓厨房首帧为起点，保持台面饮水机、油漆工以及连续的一体式胶带薄膜结构不变。镜头缓慢向前推进；油漆工只把视线从黄色胶带移向被覆盖的台面，身体保持静止，不触碰产品。透明膜始终从胶带端点连续延伸至橱柜前沿下方，饮水机和台面全程位于膜后。禁止撕裂、第二层膜、额外胶带、手部接触、出水、裸露表面、说话、文字和标识。</x:v>
      </x:c>
      <x:c r="K5" s="16" t="str">
        <x:v>生成一张9:16竖屏写实商业摄影首帧：正在翻新的小户型公寓厨房内，一台紧凑型白色台面饮水机放在浅色石材台面上。饮水机上方约12厘米的墙面粘贴一条有限长度的黄色美纹胶带；一整张同宽透明PE膜永久连接在胶带整个下沿，左右端点严格对齐，连续覆盖完整饮水机、周边台面并延伸至橱柜前沿下方。专业欧美男油漆工站在画面最左侧，只观察胶带线，不接触、不遮挡产品。四分之三中近景，暖色日光，可见橱柜和油漆托盘，无撕裂、无额外胶带、无裸露台面、无文字、标识或水印。</x:v>
      </x:c>
      <x:c r="L5" s="16" t="str">
        <x:v>立式饮水机、破膜、手触碰胶带、重复胶带、台面裸露、额外黄色碎片、出水、文字、标识、水印</x:v>
      </x:c>
      <x:c r="M5" s="16" t="str">
        <x:v>5958298e633c</x:v>
      </x:c>
      <x:c r="N5" s="16" t="str">
        <x:v>通过</x:v>
      </x:c>
      <x:c r="O5" s="16" t="str">
        <x:v>淘汰</x:v>
      </x:c>
      <x:c r="P5" s="16" t="str">
        <x:v>f39260f4b7ce3f28bef5b2b29c23c7c2665d02c37487296fb3f48458ba1b54b4</x:v>
      </x:c>
      <x:c r="Q5" s="16" t="str">
        <x:v>53a6060201822c1748a08412275ff581c74b6bf91e892631eda658b31399a2a2</x:v>
      </x:c>
      <x:c r="R5" s="16" t="str">
        <x:v>seedream-5.0-lite</x:v>
      </x:c>
      <x:c r="S5" s="16" t="str">
        <x:v>grok-imagine-video-1.5-fast</x:v>
      </x:c>
      <x:c r="T5" s="20" t="n">
        <x:v>0.6</x:v>
      </x:c>
      <x:c r="U5" s="16" t="n">
        <x:v>10</x:v>
      </x:c>
      <x:c r="V5" s="16" t="str">
        <x:v>已完成</x:v>
      </x:c>
      <x:c r="W5" s="16" t="str">
        <x:v>../../05_饮水机_墙面固定_完整膜返工/技术记录（不用看）/approved-candidates/饮水机完整膜基准.png</x:v>
      </x:c>
      <x:c r="X5" s="16" t="str">
        <x:v>03_视频项目/防尘膜短视频/08_场景单元/07_饮水机_差异化场景/技术记录（不用看）</x:v>
      </x:c>
      <x:c r="Y5" s="16" t="str">
        <x:v>70a413dec4c3a849</x:v>
      </x:c>
    </x:row>
    <x:row r="6" ht="300" customHeight="1">
      <x:c r="A6" s="16" t="str">
        <x:v>v03-s01</x:v>
      </x:c>
      <x:c r="B6" s="16" t="str">
        <x:v>饮水机案例03</x:v>
      </x:c>
      <x:c r="C6" s="16" t="str">
        <x:v>饮水机</x:v>
      </x:c>
      <x:c r="D6" s="16" t="str">
        <x:v>宽体黑银色下置水桶立式饮水机</x:v>
      </x:c>
      <x:c r="E6" s="16" t="str">
        <x:v>整洁的诊所走廊翻新区</x:v>
      </x:c>
      <x:c r="F6" s="16" t="str">
        <x:v>宽幅透明膜完整覆盖饮水机，左右留出宽边，下沿在地面轻微聚拢</x:v>
      </x:c>
      <x:c r="G6" s="16" t="str">
        <x:v>低机位环境广角镜头</x:v>
      </x:c>
      <x:c r="H6" s="16" t="str">
        <x:v>镜头从地面薄膜下沿缓慢向上抬升至黄色胶带</x:v>
      </x:c>
      <x:c r="I6" s="16" t="str">
        <x:v>专业欧美油漆工站在画面右侧，在产品旁做展示手势</x:v>
      </x:c>
      <x:c r="J6" s="16" t="str">
        <x:v>以已批准的诊所走廊首帧为起点，保持宽体饮水机、站立油漆工和一体式胶带薄膜结构不变。镜头从地面轻微聚拢的薄膜下沿缓慢向上抬升至黄色胶带；油漆工只做一次小幅开放手掌展示动作。宽幅透明膜始终是一整张连续材料，左右边界和胶带端点稳定对齐。禁止撕裂、第二片薄膜、松脱胶带、额外胶带、出水、接触产品、下柜裸露、环绕运镜、说话、文字和标识。</x:v>
      </x:c>
      <x:c r="K6" s="16" t="str">
        <x:v>生成一张9:16竖屏写实商业摄影首帧：整洁的诊所走廊翻新区内，一台宽体黑银色下置水桶立式饮水机靠平整白墙摆放。饮水机上方约18厘米的墙面固定一条有限长度、笔直完整的黄色美纹胶带；一整张同宽透明PE膜永久连接在胶带下沿全长，连续覆盖饮水机顶部、控制面板、出水口、宽侧边和下柜，左右留出清晰宽边，下沿在地面轻微聚拢但保持连续。专业欧美油漆工站在画面最右侧，在薄膜边界外做开放手掌展示动作，不接触、不遮挡产品。低机位环境广角，无文字、标识或水印。</x:v>
      </x:c>
      <x:c r="L6" s="16" t="str">
        <x:v>窄型饮水机、破膜、额外胶带、人物遮挡、下柜打开、出水、双层膜、文字、标识、水印</x:v>
      </x:c>
      <x:c r="M6" s="16" t="str">
        <x:v>1b1c6cd8c4ca</x:v>
      </x:c>
      <x:c r="N6" s="16" t="str">
        <x:v>通过</x:v>
      </x:c>
      <x:c r="O6" s="16" t="str">
        <x:v>通过</x:v>
      </x:c>
      <x:c r="P6" s="16" t="str">
        <x:v>77797f056a034f2138e9d0464cc38c4f819d7f8f085291535f66d1fbf0d2b1e4</x:v>
      </x:c>
      <x:c r="Q6" s="16" t="str">
        <x:v>0f2381b762c8a7018817fe4d7de4378b081a6f106177bbcbfa1dfa46f7b51262</x:v>
      </x:c>
      <x:c r="R6" s="16" t="str">
        <x:v>seedream-5.0-lite</x:v>
      </x:c>
      <x:c r="S6" s="16" t="str">
        <x:v>grok-imagine-video-1.5-fast</x:v>
      </x:c>
      <x:c r="T6" s="20" t="n">
        <x:v>0.6</x:v>
      </x:c>
      <x:c r="U6" s="16" t="n">
        <x:v>10</x:v>
      </x:c>
      <x:c r="V6" s="16" t="str">
        <x:v>已完成</x:v>
      </x:c>
      <x:c r="W6" s="16" t="str">
        <x:v>../../05_饮水机_墙面固定_完整膜返工/技术记录（不用看）/approved-candidates/饮水机完整膜基准.png</x:v>
      </x:c>
      <x:c r="X6" s="16" t="str">
        <x:v>03_视频项目/防尘膜短视频/08_场景单元/07_饮水机_差异化场景/技术记录（不用看）</x:v>
      </x:c>
      <x:c r="Y6" s="16" t="str">
        <x:v>d0e57464d4fdf2aa</x:v>
      </x:c>
    </x:row>
  </x:sheetData>
  <x:mergeCells>
    <x:mergeCell ref="A1:Y1"/>
  </x:mergeCells>
  <x:conditionalFormatting sqref="N4:O6">
    <x:cfRule type="containsText" dxfId="0" priority="1" operator="containsText" text="通过"/>
    <x:cfRule type="containsText" dxfId="1" priority="2" operator="containsText" text="淘汰"/>
    <x:cfRule type="containsText" dxfId="2" priority="3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cc07c518545a44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饮水机 AI 视频素材策略台账</x:v>
      </x:c>
      <x:c r="B1" s="3" t="str">
        <x:v>饮水机 AI 视频素材策略台账</x:v>
      </x:c>
      <x:c r="C1" s="3" t="str">
        <x:v>饮水机 AI 视频素材策略台账</x:v>
      </x:c>
      <x:c r="D1" s="3" t="str">
        <x:v>饮水机 AI 视频素材策略台账</x:v>
      </x:c>
      <x:c r="E1" s="3" t="str">
        <x:v>饮水机 AI 视频素材策略台账</x:v>
      </x:c>
      <x:c r="F1" s="3" t="str">
        <x:v>饮水机 AI 视频素材策略台账</x:v>
      </x:c>
    </x:row>
    <x:row r="2">
      <x:c r="A2" s="17"/>
      <x:c r="B2" s="17"/>
      <x:c r="C2" s="17"/>
      <x:c r="D2" s="17"/>
      <x:c r="E2" s="17"/>
      <x:c r="F2" s="17"/>
    </x:row>
    <x:row r="3" ht="30" customHeight="1">
      <x:c r="A3" s="10" t="str">
        <x:v>指标</x:v>
      </x:c>
      <x:c r="B3" s="11" t="str">
        <x:v>当前值</x:v>
      </x:c>
      <x:c r="C3" s="17"/>
      <x:c r="D3" s="17"/>
      <x:c r="E3" s="17"/>
      <x:c r="F3" s="17"/>
    </x:row>
    <x:row r="4">
      <x:c r="A4" s="17" t="str">
        <x:v>差异化案例数</x:v>
      </x:c>
      <x:c r="B4" s="17" t="n">
        <x:f>COUNTA('视频策略库'!$A$4:$A$100)</x:f>
        <x:v>3</x:v>
      </x:c>
      <x:c r="C4" s="17"/>
      <x:c r="D4" s="17"/>
      <x:c r="E4" s="17"/>
      <x:c r="F4" s="17"/>
    </x:row>
    <x:row r="5">
      <x:c r="A5" s="17" t="str">
        <x:v>唯一七维组合数</x:v>
      </x:c>
      <x:c r="B5" s="17" t="n">
        <x:f>COUNTA('视频策略库'!$M$4:$M$100)</x:f>
        <x:v>3</x:v>
      </x:c>
      <x:c r="C5" s="17"/>
      <x:c r="D5" s="17"/>
      <x:c r="E5" s="17"/>
      <x:c r="F5" s="17"/>
    </x:row>
    <x:row r="6">
      <x:c r="A6" s="17" t="str">
        <x:v>首帧通过数</x:v>
      </x:c>
      <x:c r="B6" s="17" t="n">
        <x:f>COUNTIF('视频策略库'!$N$4:$N$100,"通过")</x:f>
        <x:v>3</x:v>
      </x:c>
      <x:c r="C6" s="17"/>
      <x:c r="D6" s="17"/>
      <x:c r="E6" s="17"/>
      <x:c r="F6" s="17"/>
    </x:row>
    <x:row r="7">
      <x:c r="A7" s="17" t="str">
        <x:v>视频通过数</x:v>
      </x:c>
      <x:c r="B7" s="17" t="n">
        <x:f>COUNTIF('视频策略库'!$O$4:$O$100,"通过")</x:f>
        <x:v>2</x:v>
      </x:c>
      <x:c r="C7" s="17"/>
      <x:c r="D7" s="17"/>
      <x:c r="E7" s="17"/>
      <x:c r="F7" s="17"/>
    </x:row>
    <x:row r="8">
      <x:c r="A8" s="17" t="str">
        <x:v>全部案例预计视频费用（元）</x:v>
      </x:c>
      <x:c r="B8" s="18" t="n">
        <x:f>ROUND(SUM('视频策略库'!$T$4:$T$100),2)</x:f>
        <x:v>1.8</x:v>
      </x:c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 ht="30" customHeight="1">
      <x:c r="A10" s="10" t="str">
        <x:v>使用说明</x:v>
      </x:c>
      <x:c r="B10" s="15"/>
      <x:c r="C10" s="15"/>
      <x:c r="D10" s="15"/>
      <x:c r="E10" s="15"/>
      <x:c r="F10" s="11"/>
    </x:row>
    <x:row r="11">
      <x:c r="A11" s="19" t="str">
        <x:v>数据来源</x:v>
      </x:c>
      <x:c r="B11" s="19" t="str">
        <x:v>已生成案例来自 project.json；待生成案例为台账中的策略计划</x:v>
      </x:c>
      <x:c r="C11" s="19"/>
      <x:c r="D11" s="19"/>
      <x:c r="E11" s="19"/>
      <x:c r="F11" s="19"/>
    </x:row>
    <x:row r="12">
      <x:c r="A12" s="19" t="str">
        <x:v>台账定位</x:v>
      </x:c>
      <x:c r="B12" s="19" t="str">
        <x:v>主表逐行列出七维组合、首帧提示词和对应的视频生成提示词；待生成案例不计为已完成</x:v>
      </x:c>
      <x:c r="C12" s="19"/>
      <x:c r="D12" s="19"/>
      <x:c r="E12" s="19"/>
      <x:c r="F12" s="19"/>
    </x:row>
    <x:row r="13">
      <x:c r="A13" s="19" t="str">
        <x:v>同步规则</x:v>
      </x:c>
      <x:c r="B13" s="19" t="str">
        <x:v>提示词或状态变化后重新运行台账生成器，不在 Excel 内反向修改 JSON</x:v>
      </x:c>
      <x:c r="C13" s="19"/>
      <x:c r="D13" s="19"/>
      <x:c r="E13" s="19"/>
      <x:c r="F13" s="19"/>
    </x:row>
  </x:sheetData>
  <x:mergeCells>
    <x:mergeCell ref="A1:F1"/>
    <x:mergeCell ref="A10:F10"/>
    <x:mergeCell ref="B11:F11"/>
    <x:mergeCell ref="B12:F12"/>
    <x:mergeCell ref="B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  <x:col min="3" max="3" width="70" hidden="0" customWidth="1"/>
    <x:col min="4" max="4" width="30" hidden="0" customWidth="1"/>
    <x:col min="5" max="5" width="30" hidden="0" customWidth="1"/>
    <x:col min="6" max="6" width="20" hidden="0" customWidth="1"/>
  </x:cols>
  <x:sheetData>
    <x:row r="1" ht="32" customHeight="1">
      <x:c r="A1" s="3" t="str">
        <x:v>饮水机提示词档案｜真实流水线：首帧文生图 → 图生视频</x:v>
      </x:c>
      <x:c r="B1" s="3" t="str">
        <x:v>饮水机提示词档案｜真实流水线：首帧文生图 → 图生视频</x:v>
      </x:c>
      <x:c r="C1" s="3" t="str">
        <x:v>饮水机提示词档案｜真实流水线：首帧文生图 → 图生视频</x:v>
      </x:c>
      <x:c r="D1" s="3" t="str">
        <x:v>饮水机提示词档案｜真实流水线：首帧文生图 → 图生视频</x:v>
      </x:c>
      <x:c r="E1" s="3" t="str">
        <x:v>饮水机提示词档案｜真实流水线：首帧文生图 → 图生视频</x:v>
      </x:c>
      <x:c r="F1" s="3" t="str">
        <x:v>饮水机提示词档案｜真实流水线：首帧文生图 → 图生视频</x:v>
      </x:c>
    </x:row>
    <x:row r="3" ht="30" customHeight="1">
      <x:c r="A3" s="10" t="str">
        <x:v>案例ID</x:v>
      </x:c>
      <x:c r="B3" s="15" t="str">
        <x:v>视频生成提示词（图生视频）</x:v>
      </x:c>
      <x:c r="C3" s="15" t="str">
        <x:v>首帧提示词（文生图）</x:v>
      </x:c>
      <x:c r="D3" s="15" t="str">
        <x:v>负面提示词</x:v>
      </x:c>
      <x:c r="E3" s="15" t="str">
        <x:v>参考图片</x:v>
      </x:c>
      <x:c r="F3" s="11" t="str">
        <x:v>视频提示词哈希</x:v>
      </x:c>
    </x:row>
    <x:row r="4" ht="300" customHeight="1">
      <x:c r="A4" s="16" t="str">
        <x:v>v01-s01</x:v>
      </x:c>
      <x:c r="B4" s="16" t="str">
        <x:v>以已批准的办公室茶水间首帧为起点，保持高窄型饮水机以及胶带与透明膜的一体式结构不变。镜头从右向左缓慢横移，背景产生轻微视差；整张透明膜始终连接黄色胶带并垂至地面，完整覆盖饮水机，只允许细微表面反光。禁止人物进入、禁止出水、禁止撕裂、禁止第二层膜、禁止新增胶带、禁止饮水机裸露、禁止文字和标识。</x:v>
      </x:c>
      <x:c r="C4" s="16" t="str">
        <x:v>生成一张9:16竖屏写实商业摄影首帧：冷色调现代办公室茶水间内，一台高窄型白色立式饮水机靠浅蓝色墙面摆放。饮水机上方约15厘米的墙面粘贴一条长度有限、笔直完整的黄色美纹胶带；一整张与胶带同宽的透明PE膜永久连接在胶带下沿，从左右端点笔直垂至地面，完整覆盖饮水机顶部、控制面板、出水口、侧边和下柜。无人物，正面对称全身构图，冷色自然日光，背景仅保留不抢眼的纸杯和操作台，无第二条胶带、无破口、无饮水机裸露、无文字、标识或水印。</x:v>
      </x:c>
      <x:c r="D4" s="16" t="str">
        <x:v>破损薄膜、胶带宽于薄膜、第二条胶带、饮水机裸露、出水、人物、双层膜、文字、标识、水印</x:v>
      </x:c>
      <x:c r="E4" s="16" t="str">
        <x:v>../../05_饮水机_墙面固定_完整膜返工/技术记录（不用看）/approved-candidates/饮水机完整膜基准.png</x:v>
      </x:c>
      <x:c r="F4" s="16" t="str">
        <x:v>311592e0a380bb9d</x:v>
      </x:c>
    </x:row>
    <x:row r="5" ht="300" customHeight="1">
      <x:c r="A5" s="16" t="str">
        <x:v>v02-s01</x:v>
      </x:c>
      <x:c r="B5" s="16" t="str">
        <x:v>以已批准的公寓厨房首帧为起点，保持台面饮水机、油漆工以及连续的一体式胶带薄膜结构不变。镜头缓慢向前推进；油漆工只把视线从黄色胶带移向被覆盖的台面，身体保持静止，不触碰产品。透明膜始终从胶带端点连续延伸至橱柜前沿下方，饮水机和台面全程位于膜后。禁止撕裂、第二层膜、额外胶带、手部接触、出水、裸露表面、说话、文字和标识。</x:v>
      </x:c>
      <x:c r="C5" s="16" t="str">
        <x:v>生成一张9:16竖屏写实商业摄影首帧：正在翻新的小户型公寓厨房内，一台紧凑型白色台面饮水机放在浅色石材台面上。饮水机上方约12厘米的墙面粘贴一条有限长度的黄色美纹胶带；一整张同宽透明PE膜永久连接在胶带整个下沿，左右端点严格对齐，连续覆盖完整饮水机、周边台面并延伸至橱柜前沿下方。专业欧美男油漆工站在画面最左侧，只观察胶带线，不接触、不遮挡产品。四分之三中近景，暖色日光，可见橱柜和油漆托盘，无撕裂、无额外胶带、无裸露台面、无文字、标识或水印。</x:v>
      </x:c>
      <x:c r="D5" s="16" t="str">
        <x:v>立式饮水机、破膜、手触碰胶带、重复胶带、台面裸露、额外黄色碎片、出水、文字、标识、水印</x:v>
      </x:c>
      <x:c r="E5" s="16" t="str">
        <x:v>../../05_饮水机_墙面固定_完整膜返工/技术记录（不用看）/approved-candidates/饮水机完整膜基准.png</x:v>
      </x:c>
      <x:c r="F5" s="16" t="str">
        <x:v>70a413dec4c3a849</x:v>
      </x:c>
    </x:row>
    <x:row r="6" ht="300" customHeight="1">
      <x:c r="A6" s="16" t="str">
        <x:v>v03-s01</x:v>
      </x:c>
      <x:c r="B6" s="16" t="str">
        <x:v>以已批准的诊所走廊首帧为起点，保持宽体饮水机、站立油漆工和一体式胶带薄膜结构不变。镜头从地面轻微聚拢的薄膜下沿缓慢向上抬升至黄色胶带；油漆工只做一次小幅开放手掌展示动作。宽幅透明膜始终是一整张连续材料，左右边界和胶带端点稳定对齐。禁止撕裂、第二片薄膜、松脱胶带、额外胶带、出水、接触产品、下柜裸露、环绕运镜、说话、文字和标识。</x:v>
      </x:c>
      <x:c r="C6" s="16" t="str">
        <x:v>生成一张9:16竖屏写实商业摄影首帧：整洁的诊所走廊翻新区内，一台宽体黑银色下置水桶立式饮水机靠平整白墙摆放。饮水机上方约18厘米的墙面固定一条有限长度、笔直完整的黄色美纹胶带；一整张同宽透明PE膜永久连接在胶带下沿全长，连续覆盖饮水机顶部、控制面板、出水口、宽侧边和下柜，左右留出清晰宽边，下沿在地面轻微聚拢但保持连续。专业欧美油漆工站在画面最右侧，在薄膜边界外做开放手掌展示动作，不接触、不遮挡产品。低机位环境广角，无文字、标识或水印。</x:v>
      </x:c>
      <x:c r="D6" s="16" t="str">
        <x:v>窄型饮水机、破膜、额外胶带、人物遮挡、下柜打开、出水、双层膜、文字、标识、水印</x:v>
      </x:c>
      <x:c r="E6" s="16" t="str">
        <x:v>../../05_饮水机_墙面固定_完整膜返工/技术记录（不用看）/approved-candidates/饮水机完整膜基准.png</x:v>
      </x:c>
      <x:c r="F6" s="16" t="str">
        <x:v>d0e57464d4fdf2aa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0bd0eb68704f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60" hidden="0" customWidth="1"/>
  </x:cols>
  <x:sheetData>
    <x:row r="1" ht="32" customHeight="1">
      <x:c r="A1" s="3" t="str">
        <x:v>饮水机淘汰素材索引</x:v>
      </x:c>
      <x:c r="B1" s="3" t="str">
        <x:v>饮水机淘汰素材索引</x:v>
      </x:c>
      <x:c r="C1" s="3" t="str">
        <x:v>饮水机淘汰素材索引</x:v>
      </x:c>
      <x:c r="D1" s="3" t="str">
        <x:v>饮水机淘汰素材索引</x:v>
      </x:c>
    </x:row>
    <x:row r="3" ht="30" customHeight="1">
      <x:c r="A3" s="10" t="str">
        <x:v>来源批次</x:v>
      </x:c>
      <x:c r="B3" s="15" t="str">
        <x:v>案例/类型</x:v>
      </x:c>
      <x:c r="C3" s="15" t="str">
        <x:v>淘汰原因</x:v>
      </x:c>
      <x:c r="D3" s="11" t="str">
        <x:v>垃圾桶或证据路径</x:v>
      </x:c>
    </x:row>
    <x:row r="4">
      <x:c r="A4" s="16" t="str">
        <x:v>历史批次</x:v>
      </x:c>
      <x:c r="B4" s="16" t="str">
        <x:v>墙面固定旧批次</x:v>
      </x:c>
      <x:c r="C4" s="16" t="str">
        <x:v>首帧薄膜破损</x:v>
      </x:c>
      <x:c r="D4" s="16" t="str">
        <x:v>99_垃圾桶（可回顾）/历史场景/03_饮水机_墙面固定</x:v>
      </x:c>
    </x:row>
    <x:row r="5">
      <x:c r="A5" s="16" t="str">
        <x:v>关键帧候选</x:v>
      </x:c>
      <x:c r="B5" s="16" t="str">
        <x:v>多轮失败图片</x:v>
      </x:c>
      <x:c r="C5" s="16" t="str">
        <x:v>胶带宽于膜、断连或额外第二条胶带</x:v>
      </x:c>
      <x:c r="D5" s="16" t="str">
        <x:v>05_饮水机_墙面固定_完整膜返工/技术记录（不用看）/rejected-keyframes</x:v>
      </x:c>
    </x:row>
    <x:row r="6">
      <x:c r="A6" s="16" t="str">
        <x:v>差异化批次案例02</x:v>
      </x:c>
      <x:c r="B6" s="16" t="str">
        <x:v>厨房台面机展示</x:v>
      </x:c>
      <x:c r="C6" s="16" t="str">
        <x:v>9秒时出现额外黄色胶带状碎片</x:v>
      </x:c>
      <x:c r="D6" s="16" t="str">
        <x:v>07_饮水机_差异化场景/技术记录（不用看）/video-review.json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852d4fae13847ee"/>
  </x:tableParts>
</x:worksheet>
</file>