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70106f195764a26" /></Relationships>
</file>

<file path=xl/workbook.xml><?xml version="1.0" encoding="utf-8"?>
<x:workbook xmlns:x="http://schemas.openxmlformats.org/spreadsheetml/2006/main">
  <x:sheets>
    <x:sheet xmlns:r="http://schemas.openxmlformats.org/officeDocument/2006/relationships" name="视频策略库" sheetId="1" r:id="Rb7c224934772443a"/>
    <x:sheet xmlns:r="http://schemas.openxmlformats.org/officeDocument/2006/relationships" name="策略总览" sheetId="2" r:id="R2d1a885bdace42b2"/>
    <x:sheet xmlns:r="http://schemas.openxmlformats.org/officeDocument/2006/relationships" name="提示词档案" sheetId="3" r:id="Rd3a51857692b4d67"/>
    <x:sheet xmlns:r="http://schemas.openxmlformats.org/officeDocument/2006/relationships" name="淘汰记录" sheetId="4" r:id="R48dd4f2dade8426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
    <x:numFmt numFmtId="201" formatCode="¥0.00"/>
  </x:numFmts>
  <x:fonts count="3">
    <x:font>
      <x:sz val="11"/>
      <x:name val="Carlito"/>
    </x:font>
    <x:font>
      <x:b/>
      <x:sz val="16"/>
      <x:color rgb="FFFFFFFF"/>
      <x:name val="Carlito"/>
    </x:font>
    <x:font>
      <x:b/>
      <x:sz val="11"/>
      <x:color rgb="FFFFFFFF"/>
      <x:name val="Carlito"/>
    </x:font>
  </x:fonts>
  <x:fills count="4">
    <x:fill>
      <x:patternFill patternType="none"/>
    </x:fill>
    <x:fill>
      <x:patternFill patternType="gray125"/>
    </x:fill>
    <x:fill>
      <x:patternFill patternType="solid">
        <x:fgColor rgb="FF17324D"/>
      </x:patternFill>
    </x:fill>
    <x:fill>
      <x:patternFill patternType="solid">
        <x:fgColor rgb="FF2F5D7C"/>
      </x:patternFill>
    </x:fill>
  </x:fills>
  <x:borders count="4">
    <x:border/>
    <x:border>
      <x:left style="thin">
        <x:color rgb="FFB7C9D6"/>
      </x:left>
      <x:top style="thin">
        <x:color rgb="FFB7C9D6"/>
      </x:top>
      <x:bottom style="thin">
        <x:color rgb="FFB7C9D6"/>
      </x:bottom>
    </x:border>
    <x:border>
      <x:right style="thin">
        <x:color rgb="FFB7C9D6"/>
      </x:right>
      <x:top style="thin">
        <x:color rgb="FFB7C9D6"/>
      </x:top>
      <x:bottom style="thin">
        <x:color rgb="FFB7C9D6"/>
      </x:bottom>
    </x:border>
    <x:border>
      <x:top style="thin">
        <x:color rgb="FFB7C9D6"/>
      </x:top>
      <x:bottom style="thin">
        <x:color rgb="FFB7C9D6"/>
      </x:bottom>
    </x:border>
  </x:borders>
  <x:cellStyleXfs count="1">
    <x:xf numFmtId="0" fontId="0" fillId="0" borderId="0"/>
  </x:cellStyleXfs>
  <x:cellXfs count="2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2" xfId="0" applyNumberFormat="1" applyFont="1" applyFill="1" applyBorder="1"/>
    <x:xf numFmtId="0" fontId="2" fillId="3" borderId="1"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1" xfId="0" applyNumberFormat="1" applyFont="1" applyFill="1" applyBorder="1" applyAlignment="1">
      <x:alignment vertical="center" wrapText="1"/>
    </x:xf>
    <x:xf numFmtId="0" fontId="2" fillId="3" borderId="2" xfId="0" applyNumberFormat="1" applyFont="1" applyFill="1" applyBorder="1" applyAlignment="1">
      <x:alignment vertical="center" wrapText="1"/>
    </x:xf>
    <x:xf numFmtId="200" fontId="0" fillId="0" borderId="0" xfId="0" applyNumberFormat="1" applyFont="1" applyFill="1" applyBorder="1"/>
    <x:xf numFmtId="0" fontId="2" fillId="3" borderId="3" xfId="0" applyNumberFormat="1" applyFont="1" applyFill="1" applyBorder="1"/>
    <x:xf numFmtId="0" fontId="2" fillId="3" borderId="3" xfId="0" applyNumberFormat="1" applyFont="1" applyFill="1" applyBorder="1" applyAlignment="1">
      <x:alignment wrapText="1"/>
    </x:xf>
    <x:xf numFmtId="0" fontId="2" fillId="3" borderId="3"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wrapText="1"/>
    </x:xf>
  </x:cellXfs>
  <x:cellStyles count="1">
    <x:cellStyle name="Normal" xfId="0"/>
  </x:cellStyles>
  <x:dxfs count="3">
    <x:dxf>
      <x:font>
        <x:b/>
        <x:color rgb="FF274E13"/>
      </x:font>
      <x:fill>
        <x:patternFill patternType="solid">
          <x:bgColor rgb="FFD9EAD3"/>
        </x:patternFill>
      </x:fill>
    </x:dxf>
    <x:dxf>
      <x:font>
        <x:b/>
        <x:color rgb="FF990000"/>
      </x:font>
      <x:fill>
        <x:patternFill patternType="solid">
          <x:bgColor rgb="FFF4CCCC"/>
        </x:patternFill>
      </x:fill>
    </x:dxf>
    <x:dxf>
      <x:font>
        <x:color rgb="FF7F6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3aef68586304d09" /><Relationship Type="http://schemas.openxmlformats.org/officeDocument/2006/relationships/theme" Target="/xl/theme/theme1.xml" Id="Rc864ac90cd814844" /><Relationship Type="http://schemas.openxmlformats.org/officeDocument/2006/relationships/sharedStrings" Target="/xl/sharedStrings.xml" Id="R85fad061602c4f10" /><Relationship Type="http://schemas.openxmlformats.org/officeDocument/2006/relationships/worksheet" Target="/xl/worksheets/sheet1.xml" Id="Rb7c224934772443a" /><Relationship Type="http://schemas.openxmlformats.org/officeDocument/2006/relationships/worksheet" Target="/xl/worksheets/sheet2.xml" Id="R2d1a885bdace42b2" /><Relationship Type="http://schemas.openxmlformats.org/officeDocument/2006/relationships/worksheet" Target="/xl/worksheets/sheet3.xml" Id="Rd3a51857692b4d67" /><Relationship Type="http://schemas.openxmlformats.org/officeDocument/2006/relationships/worksheet" Target="/xl/worksheets/sheet4.xml" Id="R48dd4f2dade8426f" /></Relationships>
</file>

<file path=xl/tables/table1.xml><?xml version="1.0" encoding="utf-8"?>
<x:table xmlns:x="http://schemas.openxmlformats.org/spreadsheetml/2006/main" id="1" name="DispenserVideoStrategy" displayName="DispenserVideoStrategy" ref="A3:AA6" headerRowCount="1" totalsRowCount="0" totalsRowShown="0">
  <x:tableColumns count="27">
    <x:tableColumn id="1" name="案例ID"/>
    <x:tableColumn id="2" name="案例名称"/>
    <x:tableColumn id="3" name="物体种类"/>
    <x:tableColumn id="4" name="物体形态"/>
    <x:tableColumn id="5" name="环境场景"/>
    <x:tableColumn id="6" name="覆盖状态"/>
    <x:tableColumn id="7" name="镜头景别"/>
    <x:tableColumn id="8" name="镜头运动"/>
    <x:tableColumn id="9" name="人物/施工状态"/>
    <x:tableColumn id="10" name="完整文生视频提示词"/>
    <x:tableColumn id="11" name="图生视频提示词"/>
    <x:tableColumn id="12" name="首帧提示词"/>
    <x:tableColumn id="13" name="负面提示词"/>
    <x:tableColumn id="14" name="唯一组合指纹"/>
    <x:tableColumn id="15" name="首帧状态"/>
    <x:tableColumn id="16" name="视频状态"/>
    <x:tableColumn id="17" name="图片哈希"/>
    <x:tableColumn id="18" name="视频哈希"/>
    <x:tableColumn id="19" name="图片模型"/>
    <x:tableColumn id="20" name="视频模型"/>
    <x:tableColumn id="21" name="预计视频费用（元）"/>
    <x:tableColumn id="22" name="生成秒数"/>
    <x:tableColumn id="23" name="任务状态"/>
    <x:tableColumn id="24" name="参考图片"/>
    <x:tableColumn id="25" name="项目相对路径"/>
    <x:tableColumn id="26" name="文生视频提示词哈希"/>
    <x:tableColumn id="27" name="图生视频提示词哈希"/>
  </x:tableColumns>
  <x:tableStyleInfo name="TableStyleMedium2" showFirstColumn="0" showLastColumn="0" showRowStripes="1" showColumnStripes="0"/>
</x:table>
</file>

<file path=xl/tables/table2.xml><?xml version="1.0" encoding="utf-8"?>
<x:table xmlns:x="http://schemas.openxmlformats.org/spreadsheetml/2006/main" id="2" name="DispenserPromptArchive" displayName="DispenserPromptArchive" ref="A3:H6" headerRowCount="1" totalsRowCount="0" totalsRowShown="0">
  <x:tableColumns count="8">
    <x:tableColumn id="1" name="案例ID"/>
    <x:tableColumn id="2" name="完整文生视频提示词"/>
    <x:tableColumn id="3" name="图生视频提示词"/>
    <x:tableColumn id="4" name="首帧提示词"/>
    <x:tableColumn id="5" name="负面提示词"/>
    <x:tableColumn id="6" name="参考图片"/>
    <x:tableColumn id="7" name="文生视频提示词哈希"/>
    <x:tableColumn id="8" name="图生视频提示词哈希"/>
  </x:tableColumns>
  <x:tableStyleInfo name="TableStyleMedium2" showFirstColumn="0" showLastColumn="0" showRowStripes="1" showColumnStripes="0"/>
</x:table>
</file>

<file path=xl/tables/table3.xml><?xml version="1.0" encoding="utf-8"?>
<x:table xmlns:x="http://schemas.openxmlformats.org/spreadsheetml/2006/main" id="3" name="DispenserRejects" displayName="DispenserRejects" ref="A3:D6" headerRowCount="1" totalsRowCount="0" totalsRowShown="0">
  <x:tableColumns count="4">
    <x:tableColumn id="1" name="来源批次"/>
    <x:tableColumn id="2" name="案例/类型"/>
    <x:tableColumn id="3" name="淘汰原因"/>
    <x:tableColumn id="4" name="垃圾桶或证据路径"/>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7415b5bfe6b402b" /></Relationships>
</file>

<file path=xl/worksheets/_rels/sheet3.xml.rels>&#65279;<?xml version="1.0" encoding="utf-8"?><Relationships xmlns="http://schemas.openxmlformats.org/package/2006/relationships"><Relationship Type="http://schemas.openxmlformats.org/officeDocument/2006/relationships/table" Target="/xl/tables/table2.xml" Id="R47d54d6229a0499d" /></Relationships>
</file>

<file path=xl/worksheets/_rels/sheet4.xml.rels>&#65279;<?xml version="1.0" encoding="utf-8"?><Relationships xmlns="http://schemas.openxmlformats.org/package/2006/relationships"><Relationship Type="http://schemas.openxmlformats.org/officeDocument/2006/relationships/table" Target="/xl/tables/table3.xml" Id="Rbbcb48646f454935" /></Relationships>
</file>

<file path=xl/worksheets/sheet1.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70" hidden="0" customWidth="1"/>
    <x:col min="11" max="11" width="70" hidden="0" customWidth="1"/>
    <x:col min="12" max="12" width="70" hidden="0" customWidth="1"/>
    <x:col min="13" max="13" width="70" hidden="0" customWidth="1"/>
    <x:col min="14" max="14" width="16" hidden="0" customWidth="1"/>
    <x:col min="15" max="15" width="16" hidden="0" customWidth="1"/>
    <x:col min="16" max="16" width="16" hidden="0" customWidth="1"/>
    <x:col min="17" max="17" width="18" hidden="0" customWidth="1"/>
    <x:col min="18" max="18" width="18" hidden="0" customWidth="1"/>
    <x:col min="19" max="19" width="16" hidden="0" customWidth="1"/>
    <x:col min="20" max="20" width="16" hidden="0" customWidth="1"/>
    <x:col min="21" max="21" width="16" hidden="0" customWidth="1"/>
    <x:col min="22" max="22" width="16" hidden="0" customWidth="1"/>
    <x:col min="23" max="23" width="16" hidden="0" customWidth="1"/>
    <x:col min="24" max="24" width="34" hidden="0" customWidth="1"/>
    <x:col min="25" max="25" width="38" hidden="0" customWidth="1"/>
    <x:col min="26" max="26" width="16" hidden="0" customWidth="1"/>
    <x:col min="27" max="27" width="16" hidden="0" customWidth="1"/>
  </x:cols>
  <x:sheetData>
    <x:row r="1" ht="32" customHeight="1">
      <x:c r="A1" s="3" t="str">
        <x:v>饮水机视频策略库｜七个维度 + 一条组合对应一条文生视频提示词</x:v>
      </x:c>
      <x:c r="B1" s="3" t="str">
        <x:v>饮水机视频策略库｜七个维度 + 一条组合对应一条文生视频提示词</x:v>
      </x:c>
      <x:c r="C1" s="3" t="str">
        <x:v>饮水机视频策略库｜七个维度 + 一条组合对应一条文生视频提示词</x:v>
      </x:c>
      <x:c r="D1" s="3" t="str">
        <x:v>饮水机视频策略库｜七个维度 + 一条组合对应一条文生视频提示词</x:v>
      </x:c>
      <x:c r="E1" s="3" t="str">
        <x:v>饮水机视频策略库｜七个维度 + 一条组合对应一条文生视频提示词</x:v>
      </x:c>
      <x:c r="F1" s="3" t="str">
        <x:v>饮水机视频策略库｜七个维度 + 一条组合对应一条文生视频提示词</x:v>
      </x:c>
      <x:c r="G1" s="3" t="str">
        <x:v>饮水机视频策略库｜七个维度 + 一条组合对应一条文生视频提示词</x:v>
      </x:c>
      <x:c r="H1" s="3" t="str">
        <x:v>饮水机视频策略库｜七个维度 + 一条组合对应一条文生视频提示词</x:v>
      </x:c>
      <x:c r="I1" s="3" t="str">
        <x:v>饮水机视频策略库｜七个维度 + 一条组合对应一条文生视频提示词</x:v>
      </x:c>
      <x:c r="J1" s="3" t="str">
        <x:v>饮水机视频策略库｜七个维度 + 一条组合对应一条文生视频提示词</x:v>
      </x:c>
      <x:c r="K1" s="3" t="str">
        <x:v>饮水机视频策略库｜七个维度 + 一条组合对应一条文生视频提示词</x:v>
      </x:c>
      <x:c r="L1" s="3" t="str">
        <x:v>饮水机视频策略库｜七个维度 + 一条组合对应一条文生视频提示词</x:v>
      </x:c>
      <x:c r="M1" s="3" t="str">
        <x:v>饮水机视频策略库｜七个维度 + 一条组合对应一条文生视频提示词</x:v>
      </x:c>
      <x:c r="N1" s="3" t="str">
        <x:v>饮水机视频策略库｜七个维度 + 一条组合对应一条文生视频提示词</x:v>
      </x:c>
      <x:c r="O1" s="3" t="str">
        <x:v>饮水机视频策略库｜七个维度 + 一条组合对应一条文生视频提示词</x:v>
      </x:c>
      <x:c r="P1" s="3" t="str">
        <x:v>饮水机视频策略库｜七个维度 + 一条组合对应一条文生视频提示词</x:v>
      </x:c>
      <x:c r="Q1" s="3" t="str">
        <x:v>饮水机视频策略库｜七个维度 + 一条组合对应一条文生视频提示词</x:v>
      </x:c>
      <x:c r="R1" s="3" t="str">
        <x:v>饮水机视频策略库｜七个维度 + 一条组合对应一条文生视频提示词</x:v>
      </x:c>
      <x:c r="S1" s="3" t="str">
        <x:v>饮水机视频策略库｜七个维度 + 一条组合对应一条文生视频提示词</x:v>
      </x:c>
      <x:c r="T1" s="3" t="str">
        <x:v>饮水机视频策略库｜七个维度 + 一条组合对应一条文生视频提示词</x:v>
      </x:c>
      <x:c r="U1" s="3" t="str">
        <x:v>饮水机视频策略库｜七个维度 + 一条组合对应一条文生视频提示词</x:v>
      </x:c>
      <x:c r="V1" s="3" t="str">
        <x:v>饮水机视频策略库｜七个维度 + 一条组合对应一条文生视频提示词</x:v>
      </x:c>
      <x:c r="W1" s="3" t="str">
        <x:v>饮水机视频策略库｜七个维度 + 一条组合对应一条文生视频提示词</x:v>
      </x:c>
      <x:c r="X1" s="3" t="str">
        <x:v>饮水机视频策略库｜七个维度 + 一条组合对应一条文生视频提示词</x:v>
      </x:c>
      <x:c r="Y1" s="3" t="str">
        <x:v>饮水机视频策略库｜七个维度 + 一条组合对应一条文生视频提示词</x:v>
      </x:c>
      <x:c r="Z1" s="3" t="str">
        <x:v>饮水机视频策略库｜七个维度 + 一条组合对应一条文生视频提示词</x:v>
      </x:c>
      <x:c r="AA1" s="3" t="str">
        <x:v>饮水机视频策略库｜七个维度 + 一条组合对应一条文生视频提示词</x:v>
      </x:c>
    </x:row>
    <x:row r="3" ht="30" customHeight="1">
      <x:c r="A3" s="10" t="str">
        <x:v>案例ID</x:v>
      </x:c>
      <x:c r="B3" s="15" t="str">
        <x:v>案例名称</x:v>
      </x:c>
      <x:c r="C3" s="15" t="str">
        <x:v>物体种类</x:v>
      </x:c>
      <x:c r="D3" s="15" t="str">
        <x:v>物体形态</x:v>
      </x:c>
      <x:c r="E3" s="15" t="str">
        <x:v>环境场景</x:v>
      </x:c>
      <x:c r="F3" s="15" t="str">
        <x:v>覆盖状态</x:v>
      </x:c>
      <x:c r="G3" s="15" t="str">
        <x:v>镜头景别</x:v>
      </x:c>
      <x:c r="H3" s="15" t="str">
        <x:v>镜头运动</x:v>
      </x:c>
      <x:c r="I3" s="15" t="str">
        <x:v>人物/施工状态</x:v>
      </x:c>
      <x:c r="J3" s="15" t="str">
        <x:v>完整文生视频提示词</x:v>
      </x:c>
      <x:c r="K3" s="15" t="str">
        <x:v>图生视频提示词</x:v>
      </x:c>
      <x:c r="L3" s="15" t="str">
        <x:v>首帧提示词</x:v>
      </x:c>
      <x:c r="M3" s="15" t="str">
        <x:v>负面提示词</x:v>
      </x:c>
      <x:c r="N3" s="15" t="str">
        <x:v>唯一组合指纹</x:v>
      </x:c>
      <x:c r="O3" s="15" t="str">
        <x:v>首帧状态</x:v>
      </x:c>
      <x:c r="P3" s="15" t="str">
        <x:v>视频状态</x:v>
      </x:c>
      <x:c r="Q3" s="15" t="str">
        <x:v>图片哈希</x:v>
      </x:c>
      <x:c r="R3" s="15" t="str">
        <x:v>视频哈希</x:v>
      </x:c>
      <x:c r="S3" s="15" t="str">
        <x:v>图片模型</x:v>
      </x:c>
      <x:c r="T3" s="15" t="str">
        <x:v>视频模型</x:v>
      </x:c>
      <x:c r="U3" s="15" t="str">
        <x:v>预计视频费用（元）</x:v>
      </x:c>
      <x:c r="V3" s="15" t="str">
        <x:v>生成秒数</x:v>
      </x:c>
      <x:c r="W3" s="15" t="str">
        <x:v>任务状态</x:v>
      </x:c>
      <x:c r="X3" s="15" t="str">
        <x:v>参考图片</x:v>
      </x:c>
      <x:c r="Y3" s="15" t="str">
        <x:v>项目相对路径</x:v>
      </x:c>
      <x:c r="Z3" s="15" t="str">
        <x:v>文生视频提示词哈希</x:v>
      </x:c>
      <x:c r="AA3" s="11" t="str">
        <x:v>图生视频提示词哈希</x:v>
      </x:c>
    </x:row>
    <x:row r="4" ht="300" customHeight="1">
      <x:c r="A4" s="16" t="str">
        <x:v>v01-s01</x:v>
      </x:c>
      <x:c r="B4" s="16" t="str">
        <x:v>饮水机案例01</x:v>
      </x:c>
      <x:c r="C4" s="16" t="str">
        <x:v>water dispenser</x:v>
      </x:c>
      <x:c r="D4" s="16" t="str">
        <x:v>tall narrow floor-standing white dispenser</x:v>
      </x:c>
      <x:c r="E4" s="16" t="str">
        <x:v>cool modern office break room</x:v>
      </x:c>
      <x:c r="F4" s="16" t="str">
        <x:v>fully covered to the floor by a straight clear curtain</x:v>
      </x:c>
      <x:c r="G4" s="16" t="str">
        <x:v>symmetrical full-body shot</x:v>
      </x:c>
      <x:c r="H4" s="16" t="str">
        <x:v>slow right-to-left lateral slider</x:v>
      </x:c>
      <x:c r="I4" s="16" t="str">
        <x:v>no person; completed protection state</x:v>
      </x:c>
      <x:c r="J4" s="16" t="str">
        <x:v>Create a 10-second vertical 9:16 photorealistic renovation product demonstration video. Object: water dispenser; form: tall narrow floor-standing white dispenser. Environment: cool modern office break room. Coverage state: fully covered to the floor by a straight clear curtain. Shot scale: symmetrical full-body shot. Camera motion: slow right-to-left lateral slider. Person or work state: no person; completed protection state. Opening visual and product geometry: Use the reference only as the exact same-width yellow tape and intact film geometry; create a different appliance shape and office setting. Photorealistic vertical commercial photograph of a tall narrow white floor-standing water dispenser against a cool light-blue painted wall in a modern office break room. Stainless counter edge, stacked paper cups and a covered coffee machine sit far in the background. A single finite yellow masking-tape strip is adhered to the wall 15 centimeters above the dispenser. One straight intact transparent PE sheet begins exactly at both tape endpoints and is permanently bonded across the tape's entire lower edge. It hangs to the floor as one continuous clear curtain in front of and completely around the full dispenser, including control panel, taps, side edges and lower cabinet. No person. Symmetrical full-body framing, cool daylight, generous wall context. No tape overhang, gap, second tape, hole, slit, flap, duplicate sheet, exposed appliance, text, logo or watermark. Throughout the entire shot, the transparent PE film must remain one continuous intact sheet permanently bonded along the full lower edge of one straight yellow masking-tape strip. Keep the target object fully behind the film with no holes, tears, splits, duplicated film, extra tape, exposed object, text, logo or watermark.</x:v>
      </x:c>
      <x:c r="K4" s="16" t="str">
        <x:v>Preserve the cool office break room, tall narrow dispenser and approved intact tape-film geometry. Use a slow right-to-left lateral slider with mild background parallax. The single transparent curtain remains fully connected to the yellow tape and covers the complete dispenser down to the floor. Only fine surface shimmer is allowed. No person enters; no water flow, tear, split, extra tape, duplicate layer, exposed dispenser, installation, transformation, text or logo.</x:v>
      </x:c>
      <x:c r="L4" s="16" t="str">
        <x:v>Use the reference only as the exact same-width yellow tape and intact film geometry; create a different appliance shape and office setting. Photorealistic vertical commercial photograph of a tall narrow white floor-standing water dispenser against a cool light-blue painted wall in a modern office break room. Stainless counter edge, stacked paper cups and a covered coffee machine sit far in the background. A single finite yellow masking-tape strip is adhered to the wall 15 centimeters above the dispenser. One straight intact transparent PE sheet begins exactly at both tape endpoints and is permanently bonded across the tape's entire lower edge. It hangs to the floor as one continuous clear curtain in front of and completely around the full dispenser, including control panel, taps, side edges and lower cabinet. No person. Symmetrical full-body framing, cool daylight, generous wall context. No tape overhang, gap, second tape, hole, slit, flap, duplicate sheet, exposed appliance, text, logo or watermark.</x:v>
      </x:c>
      <x:c r="M4" s="16" t="str">
        <x:v>broken plastic, tape wider than film, second tape, uncovered dispenser, water flow</x:v>
      </x:c>
      <x:c r="N4" s="16" t="str">
        <x:v>0a02369494b1</x:v>
      </x:c>
      <x:c r="O4" s="16" t="str">
        <x:v>通过</x:v>
      </x:c>
      <x:c r="P4" s="16" t="str">
        <x:v>通过</x:v>
      </x:c>
      <x:c r="Q4" s="16" t="str">
        <x:v>13e513264b9feae344fecb4235e667fcb411f01f54ecf1351d125ff44088771a</x:v>
      </x:c>
      <x:c r="R4" s="16" t="str">
        <x:v>3e301610ebab3909b68f7fe3e911362108008c94e1075cbef0bc5533860ae005</x:v>
      </x:c>
      <x:c r="S4" s="16" t="str">
        <x:v>seedream-5.0-lite</x:v>
      </x:c>
      <x:c r="T4" s="16" t="str">
        <x:v>grok-imagine-video-1.5-fast</x:v>
      </x:c>
      <x:c r="U4" s="20" t="n">
        <x:v>0.6</x:v>
      </x:c>
      <x:c r="V4" s="16" t="n">
        <x:v>10</x:v>
      </x:c>
      <x:c r="W4" s="16" t="str">
        <x:v>completed</x:v>
      </x:c>
      <x:c r="X4" s="16" t="str">
        <x:v>../../05_饮水机_墙面固定_完整膜返工/技术记录（不用看）/approved-candidates/饮水机完整膜基准.png</x:v>
      </x:c>
      <x:c r="Y4" s="16" t="str">
        <x:v>03_视频项目/防尘膜短视频/08_场景单元/07_饮水机_差异化场景/技术记录（不用看）</x:v>
      </x:c>
      <x:c r="Z4" s="16" t="str">
        <x:v>0dd1729bd3ffc618</x:v>
      </x:c>
      <x:c r="AA4" s="16" t="str">
        <x:v>d8d6757fea280462</x:v>
      </x:c>
    </x:row>
    <x:row r="5" ht="300" customHeight="1">
      <x:c r="A5" s="16" t="str">
        <x:v>v02-s01</x:v>
      </x:c>
      <x:c r="B5" s="16" t="str">
        <x:v>饮水机案例02</x:v>
      </x:c>
      <x:c r="C5" s="16" t="str">
        <x:v>water dispenser</x:v>
      </x:c>
      <x:c r="D5" s="16" t="str">
        <x:v>compact countertop dispenser</x:v>
      </x:c>
      <x:c r="E5" s="16" t="str">
        <x:v>small renovated apartment kitchen</x:v>
      </x:c>
      <x:c r="F5" s="16" t="str">
        <x:v>fully covered from wall tape to below the countertop front edge</x:v>
      </x:c>
      <x:c r="G5" s="16" t="str">
        <x:v>three-quarter medium-close shot</x:v>
      </x:c>
      <x:c r="H5" s="16" t="str">
        <x:v>slow forward push-in</x:v>
      </x:c>
      <x:c r="I5" s="16" t="str">
        <x:v>painter standing at frame left inspecting the tape line without contact</x:v>
      </x:c>
      <x:c r="J5" s="16" t="str">
        <x:v>Create a 10-second vertical 9:16 photorealistic renovation product demonstration video. Object: water dispenser; form: compact countertop dispenser. Environment: small renovated apartment kitchen. Coverage state: fully covered from wall tape to below the countertop front edge. Shot scale: three-quarter medium-close shot. Camera motion: slow forward push-in. Person or work state: painter standing at frame left inspecting the tape line without contact. Opening visual and product geometry: Use the reference only for the strict integrated tape-and-film connection; replace the floor appliance with a visibly compact countertop form and change the environment. Photorealistic vertical commercial photograph of a small white countertop water dispenser on a pale stone counter in an apartment kitchen under repainting. A smooth off-white backsplash wall rises behind it. One finite yellow masking-tape strip is adhered to the backsplash 12 centimeters above the appliance. Exactly one transparent PE film sheet is permanently bonded along the tape's full lower edge, with square left and right endpoints aligned exactly. The intact clear sheet passes in front of the complete countertop dispenser and continues below the counter's front edge, protecting both appliance and immediate work surface as one continuous layer. A professional European painter stands at far frame left, looking at the tape line without touching or blocking it. Three-quarter medium-close view, warm daylight, visible cabinet and paint tray context. No tear, opening, doubled film, extra tape, tape overhang, exposed appliance, text, logo or watermark. Throughout the entire shot, the transparent PE film must remain one continuous intact sheet permanently bonded along the full lower edge of one straight yellow masking-tape strip. Keep the target object fully behind the film with no holes, tears, splits, duplicated film, extra tape, exposed object, text, logo or watermark.</x:v>
      </x:c>
      <x:c r="K5" s="16" t="str">
        <x:v>Keep the renovated apartment kitchen, compact countertop dispenser, painter and approved continuous tape-film structure unchanged. Perform a slow forward push-in toward the protected appliance. The painter briefly looks from the yellow tape line to the covered counter and remains still without contact. The single clear sheet stays connected endpoint-to-endpoint and continues below the counter edge; the entire dispenser remains behind it. No rip, second layer, extra tape, hand contact, water flow, exposed surface, speech, text or logo.</x:v>
      </x:c>
      <x:c r="L5" s="16" t="str">
        <x:v>Use the reference only for the strict integrated tape-and-film connection; replace the floor appliance with a visibly compact countertop form and change the environment. Photorealistic vertical commercial photograph of a small white countertop water dispenser on a pale stone counter in an apartment kitchen under repainting. A smooth off-white backsplash wall rises behind it. One finite yellow masking-tape strip is adhered to the backsplash 12 centimeters above the appliance. Exactly one transparent PE film sheet is permanently bonded along the tape's full lower edge, with square left and right endpoints aligned exactly. The intact clear sheet passes in front of the complete countertop dispenser and continues below the counter's front edge, protecting both appliance and immediate work surface as one continuous layer. A professional European painter stands at far frame left, looking at the tape line without touching or blocking it. Three-quarter medium-close view, warm daylight, visible cabinet and paint tray context. No tear, opening, doubled film, extra tape, tape overhang, exposed appliance, text, logo or watermark.</x:v>
      </x:c>
      <x:c r="M5" s="16" t="str">
        <x:v>floor-standing appliance, torn film, hands touching tape, duplicate tape, uncovered counter</x:v>
      </x:c>
      <x:c r="N5" s="16" t="str">
        <x:v>c2a061a328a2</x:v>
      </x:c>
      <x:c r="O5" s="16" t="str">
        <x:v>通过</x:v>
      </x:c>
      <x:c r="P5" s="16" t="str">
        <x:v>淘汰</x:v>
      </x:c>
      <x:c r="Q5" s="16" t="str">
        <x:v>f39260f4b7ce3f28bef5b2b29c23c7c2665d02c37487296fb3f48458ba1b54b4</x:v>
      </x:c>
      <x:c r="R5" s="16" t="str">
        <x:v>53a6060201822c1748a08412275ff581c74b6bf91e892631eda658b31399a2a2</x:v>
      </x:c>
      <x:c r="S5" s="16" t="str">
        <x:v>seedream-5.0-lite</x:v>
      </x:c>
      <x:c r="T5" s="16" t="str">
        <x:v>grok-imagine-video-1.5-fast</x:v>
      </x:c>
      <x:c r="U5" s="20" t="n">
        <x:v>0.6</x:v>
      </x:c>
      <x:c r="V5" s="16" t="n">
        <x:v>10</x:v>
      </x:c>
      <x:c r="W5" s="16" t="str">
        <x:v>completed</x:v>
      </x:c>
      <x:c r="X5" s="16" t="str">
        <x:v>../../05_饮水机_墙面固定_完整膜返工/技术记录（不用看）/approved-candidates/饮水机完整膜基准.png</x:v>
      </x:c>
      <x:c r="Y5" s="16" t="str">
        <x:v>03_视频项目/防尘膜短视频/08_场景单元/07_饮水机_差异化场景/技术记录（不用看）</x:v>
      </x:c>
      <x:c r="Z5" s="16" t="str">
        <x:v>66c7b936edb6b438</x:v>
      </x:c>
      <x:c r="AA5" s="16" t="str">
        <x:v>6bf77b8c6030df84</x:v>
      </x:c>
    </x:row>
    <x:row r="6" ht="300" customHeight="1">
      <x:c r="A6" s="16" t="str">
        <x:v>v03-s01</x:v>
      </x:c>
      <x:c r="B6" s="16" t="str">
        <x:v>饮水机案例03</x:v>
      </x:c>
      <x:c r="C6" s="16" t="str">
        <x:v>water dispenser</x:v>
      </x:c>
      <x:c r="D6" s="16" t="str">
        <x:v>wide black-and-silver bottom-loading floor dispenser</x:v>
      </x:c>
      <x:c r="E6" s="16" t="str">
        <x:v>clean clinic corridor renovation zone</x:v>
      </x:c>
      <x:c r="F6" s="16" t="str">
        <x:v>fully covered with broad side margins and gathered floor edge</x:v>
      </x:c>
      <x:c r="G6" s="16" t="str">
        <x:v>low-angle wide environmental shot</x:v>
      </x:c>
      <x:c r="H6" s="16" t="str">
        <x:v>gentle upward pedestal move</x:v>
      </x:c>
      <x:c r="I6" s="16" t="str">
        <x:v>worker standing at frame right presenting the protected appliance</x:v>
      </x:c>
      <x:c r="J6" s="16" t="str">
        <x:v>Create a 10-second vertical 9:16 photorealistic renovation product demonstration video. Object: water dispenser; form: wide black-and-silver bottom-loading floor dispenser. Environment: clean clinic corridor renovation zone. Coverage state: fully covered with broad side margins and gathered floor edge. Shot scale: low-angle wide environmental shot. Camera motion: gentle upward pedestal move. Person or work state: worker standing at frame right presenting the protected appliance. Opening visual and product geometry: Use the reference only as the exact geometry rule for one finite yellow tape strip bonded to one intact film sheet; create a wide appliance and clearly different clinic environment. Photorealistic vertical commercial photograph of a wide black-and-silver bottom-loading floor water dispenser in a clean clinic corridor renovation zone, against a smooth white wall with a covered rolling cart and blue door softly visible in the distance. One finite yellow masking-tape strip is fixed to the wall 18 centimeters above the dispenser. One broad transparent PE film sheet has exactly the same width and is continuously bonded to the entire tape lower edge. It falls as one unbroken layer over the full top, control panel, taps, wide side edges and bottom-loading cabinet, ending in a lightly gathered but continuous floor edge. A professional worker in white painter clothing stands at far frame right and presents beside the appliance with an open palm without touching or blocking it. Low-angle wide environmental composition. No split, seam, opening, double flap, additional tape, tape overhang, exposed cabinet, text, logo or watermark. Throughout the entire shot, the transparent PE film must remain one continuous intact sheet permanently bonded along the full lower edge of one straight yellow masking-tape strip. Keep the target object fully behind the film with no holes, tears, splits, duplicated film, extra tape, exposed object, text, logo or watermark.</x:v>
      </x:c>
      <x:c r="K6" s="16" t="str">
        <x:v>Preserve the clinic corridor, wide bottom-loading dispenser, standing worker and exact one-piece tape-film installation. Use a gentle upward pedestal move from the gathered floor edge to the yellow tape line. The worker makes one small open-palm presentation gesture beside the covered appliance. The broad transparent sheet remains a single continuous layer with full side margins and stable endpoint alignment. No tear, second flap, loose tape, water flow, contact, uncovered cabinet, camera orbit, speech, text or logo.</x:v>
      </x:c>
      <x:c r="L6" s="16" t="str">
        <x:v>Use the reference only as the exact geometry rule for one finite yellow tape strip bonded to one intact film sheet; create a wide appliance and clearly different clinic environment. Photorealistic vertical commercial photograph of a wide black-and-silver bottom-loading floor water dispenser in a clean clinic corridor renovation zone, against a smooth white wall with a covered rolling cart and blue door softly visible in the distance. One finite yellow masking-tape strip is fixed to the wall 18 centimeters above the dispenser. One broad transparent PE film sheet has exactly the same width and is continuously bonded to the entire tape lower edge. It falls as one unbroken layer over the full top, control panel, taps, wide side edges and bottom-loading cabinet, ending in a lightly gathered but continuous floor edge. A professional worker in white painter clothing stands at far frame right and presents beside the appliance with an open palm without touching or blocking it. Low-angle wide environmental composition. No split, seam, opening, double flap, additional tape, tape overhang, exposed cabinet, text, logo or watermark.</x:v>
      </x:c>
      <x:c r="M6" s="16" t="str">
        <x:v>narrow dispenser, ripped film, extra tape, presenter occlusion, open cabinet, water stream</x:v>
      </x:c>
      <x:c r="N6" s="16" t="str">
        <x:v>bd6fe4d687c8</x:v>
      </x:c>
      <x:c r="O6" s="16" t="str">
        <x:v>通过</x:v>
      </x:c>
      <x:c r="P6" s="16" t="str">
        <x:v>通过</x:v>
      </x:c>
      <x:c r="Q6" s="16" t="str">
        <x:v>77797f056a034f2138e9d0464cc38c4f819d7f8f085291535f66d1fbf0d2b1e4</x:v>
      </x:c>
      <x:c r="R6" s="16" t="str">
        <x:v>0f2381b762c8a7018817fe4d7de4378b081a6f106177bbcbfa1dfa46f7b51262</x:v>
      </x:c>
      <x:c r="S6" s="16" t="str">
        <x:v>seedream-5.0-lite</x:v>
      </x:c>
      <x:c r="T6" s="16" t="str">
        <x:v>grok-imagine-video-1.5-fast</x:v>
      </x:c>
      <x:c r="U6" s="20" t="n">
        <x:v>0.6</x:v>
      </x:c>
      <x:c r="V6" s="16" t="n">
        <x:v>10</x:v>
      </x:c>
      <x:c r="W6" s="16" t="str">
        <x:v>completed</x:v>
      </x:c>
      <x:c r="X6" s="16" t="str">
        <x:v>../../05_饮水机_墙面固定_完整膜返工/技术记录（不用看）/approved-candidates/饮水机完整膜基准.png</x:v>
      </x:c>
      <x:c r="Y6" s="16" t="str">
        <x:v>03_视频项目/防尘膜短视频/08_场景单元/07_饮水机_差异化场景/技术记录（不用看）</x:v>
      </x:c>
      <x:c r="Z6" s="16" t="str">
        <x:v>591522cb439878e4</x:v>
      </x:c>
      <x:c r="AA6" s="16" t="str">
        <x:v>f5c62dc3f4529607</x:v>
      </x:c>
    </x:row>
  </x:sheetData>
  <x:mergeCells>
    <x:mergeCell ref="A1:AA1"/>
  </x:mergeCells>
  <x:conditionalFormatting sqref="O4:P6">
    <x:cfRule type="containsText" dxfId="0" priority="1" operator="containsText" text="通过"/>
    <x:cfRule type="containsText" dxfId="1" priority="2" operator="containsText" text="淘汰"/>
    <x:cfRule type="containsText" dxfId="2" priority="3" operator="containsText" text="待"/>
  </x:conditionalFormatting>
  <x:pageMargins left="0.7" right="0.7" top="0.75" bottom="0.75" header="0.3" footer="0.3"/>
  <x:tableParts count="1">
    <x:tablePart xmlns:r="http://schemas.openxmlformats.org/officeDocument/2006/relationships" r:id="R57415b5bfe6b402b"/>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20" hidden="0" customWidth="1"/>
    <x:col min="4" max="4" width="20" hidden="0" customWidth="1"/>
    <x:col min="5" max="5" width="20" hidden="0" customWidth="1"/>
    <x:col min="6" max="6" width="20" hidden="0" customWidth="1"/>
  </x:cols>
  <x:sheetData>
    <x:row r="1" ht="32" customHeight="1">
      <x:c r="A1" s="3" t="str">
        <x:v>饮水机 AI 视频素材策略台账</x:v>
      </x:c>
      <x:c r="B1" s="3" t="str">
        <x:v>饮水机 AI 视频素材策略台账</x:v>
      </x:c>
      <x:c r="C1" s="3" t="str">
        <x:v>饮水机 AI 视频素材策略台账</x:v>
      </x:c>
      <x:c r="D1" s="3" t="str">
        <x:v>饮水机 AI 视频素材策略台账</x:v>
      </x:c>
      <x:c r="E1" s="3" t="str">
        <x:v>饮水机 AI 视频素材策略台账</x:v>
      </x:c>
      <x:c r="F1" s="3" t="str">
        <x:v>饮水机 AI 视频素材策略台账</x:v>
      </x:c>
    </x:row>
    <x:row r="2">
      <x:c r="A2" s="17"/>
      <x:c r="B2" s="17"/>
      <x:c r="C2" s="17"/>
      <x:c r="D2" s="17"/>
      <x:c r="E2" s="17"/>
      <x:c r="F2" s="17"/>
    </x:row>
    <x:row r="3" ht="30" customHeight="1">
      <x:c r="A3" s="10" t="str">
        <x:v>指标</x:v>
      </x:c>
      <x:c r="B3" s="11" t="str">
        <x:v>当前值</x:v>
      </x:c>
      <x:c r="C3" s="17"/>
      <x:c r="D3" s="17"/>
      <x:c r="E3" s="17"/>
      <x:c r="F3" s="17"/>
    </x:row>
    <x:row r="4">
      <x:c r="A4" s="17" t="str">
        <x:v>差异化案例数</x:v>
      </x:c>
      <x:c r="B4" s="17" t="n">
        <x:f>COUNTA('视频策略库'!$A$4:$A$100)</x:f>
        <x:v>3</x:v>
      </x:c>
      <x:c r="C4" s="17"/>
      <x:c r="D4" s="17"/>
      <x:c r="E4" s="17"/>
      <x:c r="F4" s="17"/>
    </x:row>
    <x:row r="5">
      <x:c r="A5" s="17" t="str">
        <x:v>唯一七维组合数</x:v>
      </x:c>
      <x:c r="B5" s="17" t="n">
        <x:f>COUNTA('视频策略库'!$N$4:$N$100)</x:f>
        <x:v>3</x:v>
      </x:c>
      <x:c r="C5" s="17"/>
      <x:c r="D5" s="17"/>
      <x:c r="E5" s="17"/>
      <x:c r="F5" s="17"/>
    </x:row>
    <x:row r="6">
      <x:c r="A6" s="17" t="str">
        <x:v>首帧通过数</x:v>
      </x:c>
      <x:c r="B6" s="17" t="n">
        <x:f>COUNTIF('视频策略库'!$O$4:$O$100,"通过")</x:f>
        <x:v>3</x:v>
      </x:c>
      <x:c r="C6" s="17"/>
      <x:c r="D6" s="17"/>
      <x:c r="E6" s="17"/>
      <x:c r="F6" s="17"/>
    </x:row>
    <x:row r="7">
      <x:c r="A7" s="17" t="str">
        <x:v>视频通过数</x:v>
      </x:c>
      <x:c r="B7" s="17" t="n">
        <x:f>COUNTIF('视频策略库'!$P$4:$P$100,"通过")</x:f>
        <x:v>2</x:v>
      </x:c>
      <x:c r="C7" s="17"/>
      <x:c r="D7" s="17"/>
      <x:c r="E7" s="17"/>
      <x:c r="F7" s="17"/>
    </x:row>
    <x:row r="8">
      <x:c r="A8" s="17" t="str">
        <x:v>预计视频费用（元）</x:v>
      </x:c>
      <x:c r="B8" s="18" t="n">
        <x:f>ROUND(SUM('视频策略库'!$U$4:$U$100),2)</x:f>
        <x:v>1.8</x:v>
      </x:c>
      <x:c r="C8" s="17"/>
      <x:c r="D8" s="17"/>
      <x:c r="E8" s="17"/>
      <x:c r="F8" s="17"/>
    </x:row>
    <x:row r="9">
      <x:c r="A9" s="17"/>
      <x:c r="B9" s="17"/>
      <x:c r="C9" s="17"/>
      <x:c r="D9" s="17"/>
      <x:c r="E9" s="17"/>
      <x:c r="F9" s="17"/>
    </x:row>
    <x:row r="10" ht="30" customHeight="1">
      <x:c r="A10" s="10" t="str">
        <x:v>使用说明</x:v>
      </x:c>
      <x:c r="B10" s="15"/>
      <x:c r="C10" s="15"/>
      <x:c r="D10" s="15"/>
      <x:c r="E10" s="15"/>
      <x:c r="F10" s="11"/>
    </x:row>
    <x:row r="11">
      <x:c r="A11" s="19" t="str">
        <x:v>机器执行源</x:v>
      </x:c>
      <x:c r="B11" s="19" t="str">
        <x:v>技术记录（不用看）/project.json</x:v>
      </x:c>
      <x:c r="C11" s="19"/>
      <x:c r="D11" s="19"/>
      <x:c r="E11" s="19"/>
      <x:c r="F11" s="19"/>
    </x:row>
    <x:row r="12">
      <x:c r="A12" s="19" t="str">
        <x:v>台账定位</x:v>
      </x:c>
      <x:c r="B12" s="19" t="str">
        <x:v>主表逐行列出七维组合及其完整文生视频提示词；统计页仅用于辅助查看</x:v>
      </x:c>
      <x:c r="C12" s="19"/>
      <x:c r="D12" s="19"/>
      <x:c r="E12" s="19"/>
      <x:c r="F12" s="19"/>
    </x:row>
    <x:row r="13">
      <x:c r="A13" s="19" t="str">
        <x:v>同步规则</x:v>
      </x:c>
      <x:c r="B13" s="19" t="str">
        <x:v>提示词或状态变化后重新运行台账生成器，不在 Excel 内反向修改 JSON</x:v>
      </x:c>
      <x:c r="C13" s="19"/>
      <x:c r="D13" s="19"/>
      <x:c r="E13" s="19"/>
      <x:c r="F13" s="19"/>
    </x:row>
  </x:sheetData>
  <x:mergeCells>
    <x:mergeCell ref="A1:F1"/>
    <x:mergeCell ref="A10:F10"/>
    <x:mergeCell ref="B11:F11"/>
    <x:mergeCell ref="B12:F12"/>
    <x:mergeCell ref="B13:F1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70" hidden="0" customWidth="1"/>
    <x:col min="3" max="3" width="70" hidden="0" customWidth="1"/>
    <x:col min="4" max="4" width="70" hidden="0" customWidth="1"/>
    <x:col min="5" max="5" width="30" hidden="0" customWidth="1"/>
    <x:col min="6" max="6" width="30" hidden="0" customWidth="1"/>
    <x:col min="7" max="7" width="20" hidden="0" customWidth="1"/>
    <x:col min="8" max="8" width="20" hidden="0" customWidth="1"/>
  </x:cols>
  <x:sheetData>
    <x:row r="1" ht="32" customHeight="1">
      <x:c r="A1" s="3" t="str">
        <x:v>饮水机提示词档案｜区分文生视频、图生视频与首帧提示词</x:v>
      </x:c>
      <x:c r="B1" s="3" t="str">
        <x:v>饮水机提示词档案｜区分文生视频、图生视频与首帧提示词</x:v>
      </x:c>
      <x:c r="C1" s="3" t="str">
        <x:v>饮水机提示词档案｜区分文生视频、图生视频与首帧提示词</x:v>
      </x:c>
      <x:c r="D1" s="3" t="str">
        <x:v>饮水机提示词档案｜区分文生视频、图生视频与首帧提示词</x:v>
      </x:c>
      <x:c r="E1" s="3" t="str">
        <x:v>饮水机提示词档案｜区分文生视频、图生视频与首帧提示词</x:v>
      </x:c>
      <x:c r="F1" s="3" t="str">
        <x:v>饮水机提示词档案｜区分文生视频、图生视频与首帧提示词</x:v>
      </x:c>
      <x:c r="G1" s="3" t="str">
        <x:v>饮水机提示词档案｜区分文生视频、图生视频与首帧提示词</x:v>
      </x:c>
      <x:c r="H1" s="3" t="str">
        <x:v>饮水机提示词档案｜区分文生视频、图生视频与首帧提示词</x:v>
      </x:c>
    </x:row>
    <x:row r="3" ht="30" customHeight="1">
      <x:c r="A3" s="10" t="str">
        <x:v>案例ID</x:v>
      </x:c>
      <x:c r="B3" s="15" t="str">
        <x:v>完整文生视频提示词</x:v>
      </x:c>
      <x:c r="C3" s="15" t="str">
        <x:v>图生视频提示词</x:v>
      </x:c>
      <x:c r="D3" s="15" t="str">
        <x:v>首帧提示词</x:v>
      </x:c>
      <x:c r="E3" s="15" t="str">
        <x:v>负面提示词</x:v>
      </x:c>
      <x:c r="F3" s="15" t="str">
        <x:v>参考图片</x:v>
      </x:c>
      <x:c r="G3" s="15" t="str">
        <x:v>文生视频提示词哈希</x:v>
      </x:c>
      <x:c r="H3" s="11" t="str">
        <x:v>图生视频提示词哈希</x:v>
      </x:c>
    </x:row>
    <x:row r="4" ht="300" customHeight="1">
      <x:c r="A4" s="16" t="str">
        <x:v>v01-s01</x:v>
      </x:c>
      <x:c r="B4" s="16" t="str">
        <x:v>Create a 10-second vertical 9:16 photorealistic renovation product demonstration video. Object: water dispenser; form: tall narrow floor-standing white dispenser. Environment: cool modern office break room. Coverage state: fully covered to the floor by a straight clear curtain. Shot scale: symmetrical full-body shot. Camera motion: slow right-to-left lateral slider. Person or work state: no person; completed protection state. Opening visual and product geometry: Use the reference only as the exact same-width yellow tape and intact film geometry; create a different appliance shape and office setting. Photorealistic vertical commercial photograph of a tall narrow white floor-standing water dispenser against a cool light-blue painted wall in a modern office break room. Stainless counter edge, stacked paper cups and a covered coffee machine sit far in the background. A single finite yellow masking-tape strip is adhered to the wall 15 centimeters above the dispenser. One straight intact transparent PE sheet begins exactly at both tape endpoints and is permanently bonded across the tape's entire lower edge. It hangs to the floor as one continuous clear curtain in front of and completely around the full dispenser, including control panel, taps, side edges and lower cabinet. No person. Symmetrical full-body framing, cool daylight, generous wall context. No tape overhang, gap, second tape, hole, slit, flap, duplicate sheet, exposed appliance, text, logo or watermark. Throughout the entire shot, the transparent PE film must remain one continuous intact sheet permanently bonded along the full lower edge of one straight yellow masking-tape strip. Keep the target object fully behind the film with no holes, tears, splits, duplicated film, extra tape, exposed object, text, logo or watermark.</x:v>
      </x:c>
      <x:c r="C4" s="16" t="str">
        <x:v>Preserve the cool office break room, tall narrow dispenser and approved intact tape-film geometry. Use a slow right-to-left lateral slider with mild background parallax. The single transparent curtain remains fully connected to the yellow tape and covers the complete dispenser down to the floor. Only fine surface shimmer is allowed. No person enters; no water flow, tear, split, extra tape, duplicate layer, exposed dispenser, installation, transformation, text or logo.</x:v>
      </x:c>
      <x:c r="D4" s="16" t="str">
        <x:v>Use the reference only as the exact same-width yellow tape and intact film geometry; create a different appliance shape and office setting. Photorealistic vertical commercial photograph of a tall narrow white floor-standing water dispenser against a cool light-blue painted wall in a modern office break room. Stainless counter edge, stacked paper cups and a covered coffee machine sit far in the background. A single finite yellow masking-tape strip is adhered to the wall 15 centimeters above the dispenser. One straight intact transparent PE sheet begins exactly at both tape endpoints and is permanently bonded across the tape's entire lower edge. It hangs to the floor as one continuous clear curtain in front of and completely around the full dispenser, including control panel, taps, side edges and lower cabinet. No person. Symmetrical full-body framing, cool daylight, generous wall context. No tape overhang, gap, second tape, hole, slit, flap, duplicate sheet, exposed appliance, text, logo or watermark.</x:v>
      </x:c>
      <x:c r="E4" s="16" t="str">
        <x:v>broken plastic, tape wider than film, second tape, uncovered dispenser, water flow</x:v>
      </x:c>
      <x:c r="F4" s="16" t="str">
        <x:v>../../05_饮水机_墙面固定_完整膜返工/技术记录（不用看）/approved-candidates/饮水机完整膜基准.png</x:v>
      </x:c>
      <x:c r="G4" s="16" t="str">
        <x:v>0dd1729bd3ffc618</x:v>
      </x:c>
      <x:c r="H4" s="16" t="str">
        <x:v>d8d6757fea280462</x:v>
      </x:c>
    </x:row>
    <x:row r="5" ht="300" customHeight="1">
      <x:c r="A5" s="16" t="str">
        <x:v>v02-s01</x:v>
      </x:c>
      <x:c r="B5" s="16" t="str">
        <x:v>Create a 10-second vertical 9:16 photorealistic renovation product demonstration video. Object: water dispenser; form: compact countertop dispenser. Environment: small renovated apartment kitchen. Coverage state: fully covered from wall tape to below the countertop front edge. Shot scale: three-quarter medium-close shot. Camera motion: slow forward push-in. Person or work state: painter standing at frame left inspecting the tape line without contact. Opening visual and product geometry: Use the reference only for the strict integrated tape-and-film connection; replace the floor appliance with a visibly compact countertop form and change the environment. Photorealistic vertical commercial photograph of a small white countertop water dispenser on a pale stone counter in an apartment kitchen under repainting. A smooth off-white backsplash wall rises behind it. One finite yellow masking-tape strip is adhered to the backsplash 12 centimeters above the appliance. Exactly one transparent PE film sheet is permanently bonded along the tape's full lower edge, with square left and right endpoints aligned exactly. The intact clear sheet passes in front of the complete countertop dispenser and continues below the counter's front edge, protecting both appliance and immediate work surface as one continuous layer. A professional European painter stands at far frame left, looking at the tape line without touching or blocking it. Three-quarter medium-close view, warm daylight, visible cabinet and paint tray context. No tear, opening, doubled film, extra tape, tape overhang, exposed appliance, text, logo or watermark. Throughout the entire shot, the transparent PE film must remain one continuous intact sheet permanently bonded along the full lower edge of one straight yellow masking-tape strip. Keep the target object fully behind the film with no holes, tears, splits, duplicated film, extra tape, exposed object, text, logo or watermark.</x:v>
      </x:c>
      <x:c r="C5" s="16" t="str">
        <x:v>Keep the renovated apartment kitchen, compact countertop dispenser, painter and approved continuous tape-film structure unchanged. Perform a slow forward push-in toward the protected appliance. The painter briefly looks from the yellow tape line to the covered counter and remains still without contact. The single clear sheet stays connected endpoint-to-endpoint and continues below the counter edge; the entire dispenser remains behind it. No rip, second layer, extra tape, hand contact, water flow, exposed surface, speech, text or logo.</x:v>
      </x:c>
      <x:c r="D5" s="16" t="str">
        <x:v>Use the reference only for the strict integrated tape-and-film connection; replace the floor appliance with a visibly compact countertop form and change the environment. Photorealistic vertical commercial photograph of a small white countertop water dispenser on a pale stone counter in an apartment kitchen under repainting. A smooth off-white backsplash wall rises behind it. One finite yellow masking-tape strip is adhered to the backsplash 12 centimeters above the appliance. Exactly one transparent PE film sheet is permanently bonded along the tape's full lower edge, with square left and right endpoints aligned exactly. The intact clear sheet passes in front of the complete countertop dispenser and continues below the counter's front edge, protecting both appliance and immediate work surface as one continuous layer. A professional European painter stands at far frame left, looking at the tape line without touching or blocking it. Three-quarter medium-close view, warm daylight, visible cabinet and paint tray context. No tear, opening, doubled film, extra tape, tape overhang, exposed appliance, text, logo or watermark.</x:v>
      </x:c>
      <x:c r="E5" s="16" t="str">
        <x:v>floor-standing appliance, torn film, hands touching tape, duplicate tape, uncovered counter</x:v>
      </x:c>
      <x:c r="F5" s="16" t="str">
        <x:v>../../05_饮水机_墙面固定_完整膜返工/技术记录（不用看）/approved-candidates/饮水机完整膜基准.png</x:v>
      </x:c>
      <x:c r="G5" s="16" t="str">
        <x:v>66c7b936edb6b438</x:v>
      </x:c>
      <x:c r="H5" s="16" t="str">
        <x:v>6bf77b8c6030df84</x:v>
      </x:c>
    </x:row>
    <x:row r="6" ht="300" customHeight="1">
      <x:c r="A6" s="16" t="str">
        <x:v>v03-s01</x:v>
      </x:c>
      <x:c r="B6" s="16" t="str">
        <x:v>Create a 10-second vertical 9:16 photorealistic renovation product demonstration video. Object: water dispenser; form: wide black-and-silver bottom-loading floor dispenser. Environment: clean clinic corridor renovation zone. Coverage state: fully covered with broad side margins and gathered floor edge. Shot scale: low-angle wide environmental shot. Camera motion: gentle upward pedestal move. Person or work state: worker standing at frame right presenting the protected appliance. Opening visual and product geometry: Use the reference only as the exact geometry rule for one finite yellow tape strip bonded to one intact film sheet; create a wide appliance and clearly different clinic environment. Photorealistic vertical commercial photograph of a wide black-and-silver bottom-loading floor water dispenser in a clean clinic corridor renovation zone, against a smooth white wall with a covered rolling cart and blue door softly visible in the distance. One finite yellow masking-tape strip is fixed to the wall 18 centimeters above the dispenser. One broad transparent PE film sheet has exactly the same width and is continuously bonded to the entire tape lower edge. It falls as one unbroken layer over the full top, control panel, taps, wide side edges and bottom-loading cabinet, ending in a lightly gathered but continuous floor edge. A professional worker in white painter clothing stands at far frame right and presents beside the appliance with an open palm without touching or blocking it. Low-angle wide environmental composition. No split, seam, opening, double flap, additional tape, tape overhang, exposed cabinet, text, logo or watermark. Throughout the entire shot, the transparent PE film must remain one continuous intact sheet permanently bonded along the full lower edge of one straight yellow masking-tape strip. Keep the target object fully behind the film with no holes, tears, splits, duplicated film, extra tape, exposed object, text, logo or watermark.</x:v>
      </x:c>
      <x:c r="C6" s="16" t="str">
        <x:v>Preserve the clinic corridor, wide bottom-loading dispenser, standing worker and exact one-piece tape-film installation. Use a gentle upward pedestal move from the gathered floor edge to the yellow tape line. The worker makes one small open-palm presentation gesture beside the covered appliance. The broad transparent sheet remains a single continuous layer with full side margins and stable endpoint alignment. No tear, second flap, loose tape, water flow, contact, uncovered cabinet, camera orbit, speech, text or logo.</x:v>
      </x:c>
      <x:c r="D6" s="16" t="str">
        <x:v>Use the reference only as the exact geometry rule for one finite yellow tape strip bonded to one intact film sheet; create a wide appliance and clearly different clinic environment. Photorealistic vertical commercial photograph of a wide black-and-silver bottom-loading floor water dispenser in a clean clinic corridor renovation zone, against a smooth white wall with a covered rolling cart and blue door softly visible in the distance. One finite yellow masking-tape strip is fixed to the wall 18 centimeters above the dispenser. One broad transparent PE film sheet has exactly the same width and is continuously bonded to the entire tape lower edge. It falls as one unbroken layer over the full top, control panel, taps, wide side edges and bottom-loading cabinet, ending in a lightly gathered but continuous floor edge. A professional worker in white painter clothing stands at far frame right and presents beside the appliance with an open palm without touching or blocking it. Low-angle wide environmental composition. No split, seam, opening, double flap, additional tape, tape overhang, exposed cabinet, text, logo or watermark.</x:v>
      </x:c>
      <x:c r="E6" s="16" t="str">
        <x:v>narrow dispenser, ripped film, extra tape, presenter occlusion, open cabinet, water stream</x:v>
      </x:c>
      <x:c r="F6" s="16" t="str">
        <x:v>../../05_饮水机_墙面固定_完整膜返工/技术记录（不用看）/approved-candidates/饮水机完整膜基准.png</x:v>
      </x:c>
      <x:c r="G6" s="16" t="str">
        <x:v>591522cb439878e4</x:v>
      </x:c>
      <x:c r="H6" s="16" t="str">
        <x:v>f5c62dc3f4529607</x:v>
      </x:c>
    </x:row>
  </x:sheetData>
  <x:mergeCells>
    <x:mergeCell ref="A1:H1"/>
  </x:mergeCells>
  <x:pageMargins left="0.7" right="0.7" top="0.75" bottom="0.75" header="0.3" footer="0.3"/>
  <x:tableParts count="1">
    <x:tablePart xmlns:r="http://schemas.openxmlformats.org/officeDocument/2006/relationships" r:id="R47d54d6229a0499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36" hidden="0" customWidth="1"/>
    <x:col min="4" max="4" width="60" hidden="0" customWidth="1"/>
  </x:cols>
  <x:sheetData>
    <x:row r="1" ht="32" customHeight="1">
      <x:c r="A1" s="3" t="str">
        <x:v>饮水机淘汰素材索引</x:v>
      </x:c>
      <x:c r="B1" s="3" t="str">
        <x:v>饮水机淘汰素材索引</x:v>
      </x:c>
      <x:c r="C1" s="3" t="str">
        <x:v>饮水机淘汰素材索引</x:v>
      </x:c>
      <x:c r="D1" s="3" t="str">
        <x:v>饮水机淘汰素材索引</x:v>
      </x:c>
    </x:row>
    <x:row r="3" ht="30" customHeight="1">
      <x:c r="A3" s="10" t="str">
        <x:v>来源批次</x:v>
      </x:c>
      <x:c r="B3" s="15" t="str">
        <x:v>案例/类型</x:v>
      </x:c>
      <x:c r="C3" s="15" t="str">
        <x:v>淘汰原因</x:v>
      </x:c>
      <x:c r="D3" s="11" t="str">
        <x:v>垃圾桶或证据路径</x:v>
      </x:c>
    </x:row>
    <x:row r="4">
      <x:c r="A4" s="16" t="str">
        <x:v>历史批次</x:v>
      </x:c>
      <x:c r="B4" s="16" t="str">
        <x:v>墙面固定旧批次</x:v>
      </x:c>
      <x:c r="C4" s="16" t="str">
        <x:v>首帧薄膜破损</x:v>
      </x:c>
      <x:c r="D4" s="16" t="str">
        <x:v>99_垃圾桶（可回顾）/历史场景/03_饮水机_墙面固定</x:v>
      </x:c>
    </x:row>
    <x:row r="5">
      <x:c r="A5" s="16" t="str">
        <x:v>关键帧候选</x:v>
      </x:c>
      <x:c r="B5" s="16" t="str">
        <x:v>多轮失败图片</x:v>
      </x:c>
      <x:c r="C5" s="16" t="str">
        <x:v>胶带宽于膜、断连或额外第二条胶带</x:v>
      </x:c>
      <x:c r="D5" s="16" t="str">
        <x:v>05_饮水机_墙面固定_完整膜返工/技术记录（不用看）/rejected-keyframes</x:v>
      </x:c>
    </x:row>
    <x:row r="6">
      <x:c r="A6" s="16" t="str">
        <x:v>差异化批次案例02</x:v>
      </x:c>
      <x:c r="B6" s="16" t="str">
        <x:v>厨房台面机展示</x:v>
      </x:c>
      <x:c r="C6" s="16" t="str">
        <x:v>9秒时出现额外黄色胶带状碎片</x:v>
      </x:c>
      <x:c r="D6" s="16" t="str">
        <x:v>07_饮水机_差异化场景/技术记录（不用看）/video-review.json</x:v>
      </x:c>
    </x:row>
  </x:sheetData>
  <x:mergeCells>
    <x:mergeCell ref="A1:D1"/>
  </x:mergeCells>
  <x:pageMargins left="0.7" right="0.7" top="0.75" bottom="0.75" header="0.3" footer="0.3"/>
  <x:tableParts count="1">
    <x:tablePart xmlns:r="http://schemas.openxmlformats.org/officeDocument/2006/relationships" r:id="Rbbcb48646f454935"/>
  </x:tableParts>
</x:worksheet>
</file>