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6b6cef94f544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视频策略库" sheetId="1" r:id="Rf9dee5c2a98e4603"/>
    <x:sheet xmlns:r="http://schemas.openxmlformats.org/officeDocument/2006/relationships" name="策略总览" sheetId="2" r:id="R45316bfa2f54428e"/>
    <x:sheet xmlns:r="http://schemas.openxmlformats.org/officeDocument/2006/relationships" name="提示词档案" sheetId="3" r:id="Rb97e2fe3547c4a12"/>
    <x:sheet xmlns:r="http://schemas.openxmlformats.org/officeDocument/2006/relationships" name="淘汰记录" sheetId="4" r:id="Ree4e47010f5740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¥#,##0.00"/>
    <x:numFmt numFmtId="201" formatCode="¥0.00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5D7C"/>
      </x:patternFill>
    </x:fill>
  </x:fills>
  <x:borders count="4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e2e81e6eb944e8" /><Relationship Type="http://schemas.openxmlformats.org/officeDocument/2006/relationships/theme" Target="/xl/theme/theme1.xml" Id="R7cec75c0abe74127" /><Relationship Type="http://schemas.openxmlformats.org/officeDocument/2006/relationships/sharedStrings" Target="/xl/sharedStrings.xml" Id="Re27ec77694b44924" /><Relationship Type="http://schemas.openxmlformats.org/officeDocument/2006/relationships/worksheet" Target="/xl/worksheets/sheet1.xml" Id="Rf9dee5c2a98e4603" /><Relationship Type="http://schemas.openxmlformats.org/officeDocument/2006/relationships/worksheet" Target="/xl/worksheets/sheet2.xml" Id="R45316bfa2f54428e" /><Relationship Type="http://schemas.openxmlformats.org/officeDocument/2006/relationships/worksheet" Target="/xl/worksheets/sheet3.xml" Id="Rb97e2fe3547c4a12" /><Relationship Type="http://schemas.openxmlformats.org/officeDocument/2006/relationships/worksheet" Target="/xl/worksheets/sheet4.xml" Id="Ree4e47010f5740db" /></Relationships>
</file>

<file path=xl/tables/table1.xml><?xml version="1.0" encoding="utf-8"?>
<x:table xmlns:x="http://schemas.openxmlformats.org/spreadsheetml/2006/main" id="1" name="TVVideoStrategy" displayName="TVVideoStrategy" ref="A3:Y13" headerRowCount="1" totalsRowCount="0" totalsRowShown="0">
  <x:tableColumns count="25">
    <x:tableColumn id="1" name="案例ID"/>
    <x:tableColumn id="2" name="案例名称"/>
    <x:tableColumn id="3" name="物体种类"/>
    <x:tableColumn id="4" name="物体形态"/>
    <x:tableColumn id="5" name="环境场景"/>
    <x:tableColumn id="6" name="覆盖状态"/>
    <x:tableColumn id="7" name="镜头景别"/>
    <x:tableColumn id="8" name="镜头运动"/>
    <x:tableColumn id="9" name="人物/施工状态"/>
    <x:tableColumn id="10" name="视频生成提示词（图生视频）"/>
    <x:tableColumn id="11" name="首帧提示词（文生图）"/>
    <x:tableColumn id="12" name="负面提示词"/>
    <x:tableColumn id="13" name="唯一组合指纹"/>
    <x:tableColumn id="14" name="首帧状态"/>
    <x:tableColumn id="15" name="视频状态"/>
    <x:tableColumn id="16" name="图片哈希"/>
    <x:tableColumn id="17" name="视频哈希"/>
    <x:tableColumn id="18" name="图片模型"/>
    <x:tableColumn id="19" name="视频模型"/>
    <x:tableColumn id="20" name="预计视频费用（元）"/>
    <x:tableColumn id="21" name="生成秒数"/>
    <x:tableColumn id="22" name="任务状态"/>
    <x:tableColumn id="23" name="参考图片"/>
    <x:tableColumn id="24" name="项目相对路径"/>
    <x:tableColumn id="25" name="视频提示词哈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VPromptArchive" displayName="TVPromptArchive" ref="A3:F13" headerRowCount="1" totalsRowCount="0" totalsRowShown="0">
  <x:tableColumns count="6">
    <x:tableColumn id="1" name="案例ID"/>
    <x:tableColumn id="2" name="视频生成提示词（图生视频）"/>
    <x:tableColumn id="3" name="首帧提示词（文生图）"/>
    <x:tableColumn id="4" name="负面提示词"/>
    <x:tableColumn id="5" name="参考图片"/>
    <x:tableColumn id="6" name="视频提示词哈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VRejects" displayName="TVRejects" ref="A3:D7" headerRowCount="1" totalsRowCount="0" totalsRowShown="0">
  <x:tableColumns count="4">
    <x:tableColumn id="1" name="来源批次"/>
    <x:tableColumn id="2" name="案例/类型"/>
    <x:tableColumn id="3" name="淘汰原因"/>
    <x:tableColumn id="4" name="垃圾桶或证据路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2b238b295d4a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f6479f4c0c14f9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0386a8d0c97452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70" hidden="0" customWidth="1"/>
    <x:col min="11" max="11" width="70" hidden="0" customWidth="1"/>
    <x:col min="12" max="12" width="70" hidden="0" customWidth="1"/>
    <x:col min="13" max="13" width="16" hidden="0" customWidth="1"/>
    <x:col min="14" max="14" width="16" hidden="0" customWidth="1"/>
    <x:col min="15" max="15" width="16" hidden="0" customWidth="1"/>
    <x:col min="16" max="16" width="18" hidden="0" customWidth="1"/>
    <x:col min="17" max="17" width="18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34" hidden="0" customWidth="1"/>
    <x:col min="24" max="24" width="38" hidden="0" customWidth="1"/>
    <x:col min="25" max="25" width="16" hidden="0" customWidth="1"/>
  </x:cols>
  <x:sheetData>
    <x:row r="1" ht="32" customHeight="1">
      <x:c r="A1" s="3" t="str">
        <x:v>电视视频策略库｜七个维度 + 首帧提示词 + 实际视频生成提示词</x:v>
      </x:c>
      <x:c r="B1" s="3" t="str">
        <x:v>电视视频策略库｜七个维度 + 首帧提示词 + 实际视频生成提示词</x:v>
      </x:c>
      <x:c r="C1" s="3" t="str">
        <x:v>电视视频策略库｜七个维度 + 首帧提示词 + 实际视频生成提示词</x:v>
      </x:c>
      <x:c r="D1" s="3" t="str">
        <x:v>电视视频策略库｜七个维度 + 首帧提示词 + 实际视频生成提示词</x:v>
      </x:c>
      <x:c r="E1" s="3" t="str">
        <x:v>电视视频策略库｜七个维度 + 首帧提示词 + 实际视频生成提示词</x:v>
      </x:c>
      <x:c r="F1" s="3" t="str">
        <x:v>电视视频策略库｜七个维度 + 首帧提示词 + 实际视频生成提示词</x:v>
      </x:c>
      <x:c r="G1" s="3" t="str">
        <x:v>电视视频策略库｜七个维度 + 首帧提示词 + 实际视频生成提示词</x:v>
      </x:c>
      <x:c r="H1" s="3" t="str">
        <x:v>电视视频策略库｜七个维度 + 首帧提示词 + 实际视频生成提示词</x:v>
      </x:c>
      <x:c r="I1" s="3" t="str">
        <x:v>电视视频策略库｜七个维度 + 首帧提示词 + 实际视频生成提示词</x:v>
      </x:c>
      <x:c r="J1" s="3" t="str">
        <x:v>电视视频策略库｜七个维度 + 首帧提示词 + 实际视频生成提示词</x:v>
      </x:c>
      <x:c r="K1" s="3" t="str">
        <x:v>电视视频策略库｜七个维度 + 首帧提示词 + 实际视频生成提示词</x:v>
      </x:c>
      <x:c r="L1" s="3" t="str">
        <x:v>电视视频策略库｜七个维度 + 首帧提示词 + 实际视频生成提示词</x:v>
      </x:c>
      <x:c r="M1" s="3" t="str">
        <x:v>电视视频策略库｜七个维度 + 首帧提示词 + 实际视频生成提示词</x:v>
      </x:c>
      <x:c r="N1" s="3" t="str">
        <x:v>电视视频策略库｜七个维度 + 首帧提示词 + 实际视频生成提示词</x:v>
      </x:c>
      <x:c r="O1" s="3" t="str">
        <x:v>电视视频策略库｜七个维度 + 首帧提示词 + 实际视频生成提示词</x:v>
      </x:c>
      <x:c r="P1" s="3" t="str">
        <x:v>电视视频策略库｜七个维度 + 首帧提示词 + 实际视频生成提示词</x:v>
      </x:c>
      <x:c r="Q1" s="3" t="str">
        <x:v>电视视频策略库｜七个维度 + 首帧提示词 + 实际视频生成提示词</x:v>
      </x:c>
      <x:c r="R1" s="3" t="str">
        <x:v>电视视频策略库｜七个维度 + 首帧提示词 + 实际视频生成提示词</x:v>
      </x:c>
      <x:c r="S1" s="3" t="str">
        <x:v>电视视频策略库｜七个维度 + 首帧提示词 + 实际视频生成提示词</x:v>
      </x:c>
      <x:c r="T1" s="3" t="str">
        <x:v>电视视频策略库｜七个维度 + 首帧提示词 + 实际视频生成提示词</x:v>
      </x:c>
      <x:c r="U1" s="3" t="str">
        <x:v>电视视频策略库｜七个维度 + 首帧提示词 + 实际视频生成提示词</x:v>
      </x:c>
      <x:c r="V1" s="3" t="str">
        <x:v>电视视频策略库｜七个维度 + 首帧提示词 + 实际视频生成提示词</x:v>
      </x:c>
      <x:c r="W1" s="3" t="str">
        <x:v>电视视频策略库｜七个维度 + 首帧提示词 + 实际视频生成提示词</x:v>
      </x:c>
      <x:c r="X1" s="3" t="str">
        <x:v>电视视频策略库｜七个维度 + 首帧提示词 + 实际视频生成提示词</x:v>
      </x:c>
      <x:c r="Y1" s="3" t="str">
        <x:v>电视视频策略库｜七个维度 + 首帧提示词 + 实际视频生成提示词</x:v>
      </x:c>
    </x:row>
    <x:row r="3" ht="30" customHeight="1">
      <x:c r="A3" s="10" t="str">
        <x:v>案例ID</x:v>
      </x:c>
      <x:c r="B3" s="15" t="str">
        <x:v>案例名称</x:v>
      </x:c>
      <x:c r="C3" s="15" t="str">
        <x:v>物体种类</x:v>
      </x:c>
      <x:c r="D3" s="15" t="str">
        <x:v>物体形态</x:v>
      </x:c>
      <x:c r="E3" s="15" t="str">
        <x:v>环境场景</x:v>
      </x:c>
      <x:c r="F3" s="15" t="str">
        <x:v>覆盖状态</x:v>
      </x:c>
      <x:c r="G3" s="15" t="str">
        <x:v>镜头景别</x:v>
      </x:c>
      <x:c r="H3" s="15" t="str">
        <x:v>镜头运动</x:v>
      </x:c>
      <x:c r="I3" s="15" t="str">
        <x:v>人物/施工状态</x:v>
      </x:c>
      <x:c r="J3" s="15" t="str">
        <x:v>视频生成提示词（图生视频）</x:v>
      </x:c>
      <x:c r="K3" s="15" t="str">
        <x:v>首帧提示词（文生图）</x:v>
      </x:c>
      <x:c r="L3" s="15" t="str">
        <x:v>负面提示词</x:v>
      </x:c>
      <x:c r="M3" s="15" t="str">
        <x:v>唯一组合指纹</x:v>
      </x:c>
      <x:c r="N3" s="15" t="str">
        <x:v>首帧状态</x:v>
      </x:c>
      <x:c r="O3" s="15" t="str">
        <x:v>视频状态</x:v>
      </x:c>
      <x:c r="P3" s="15" t="str">
        <x:v>图片哈希</x:v>
      </x:c>
      <x:c r="Q3" s="15" t="str">
        <x:v>视频哈希</x:v>
      </x:c>
      <x:c r="R3" s="15" t="str">
        <x:v>图片模型</x:v>
      </x:c>
      <x:c r="S3" s="15" t="str">
        <x:v>视频模型</x:v>
      </x:c>
      <x:c r="T3" s="15" t="str">
        <x:v>预计视频费用（元）</x:v>
      </x:c>
      <x:c r="U3" s="15" t="str">
        <x:v>生成秒数</x:v>
      </x:c>
      <x:c r="V3" s="15" t="str">
        <x:v>任务状态</x:v>
      </x:c>
      <x:c r="W3" s="15" t="str">
        <x:v>参考图片</x:v>
      </x:c>
      <x:c r="X3" s="15" t="str">
        <x:v>项目相对路径</x:v>
      </x:c>
      <x:c r="Y3" s="11" t="str">
        <x:v>视频提示词哈希</x:v>
      </x:c>
    </x:row>
    <x:row r="4" ht="300" customHeight="1">
      <x:c r="A4" s="16" t="str">
        <x:v>v01-s01</x:v>
      </x:c>
      <x:c r="B4" s="16" t="str">
        <x:v>电视案例01</x:v>
      </x:c>
      <x:c r="C4" s="16" t="str">
        <x:v>电视</x:v>
      </x:c>
      <x:c r="D4" s="16" t="str">
        <x:v>65英寸超薄壁挂平板电视</x:v>
      </x:c>
      <x:c r="E4" s="16" t="str">
        <x:v>正在重新粉刷的明亮北欧风客厅</x:v>
      </x:c>
      <x:c r="F4" s="16" t="str">
        <x:v>一整张绷紧的矩形透明膜完整覆盖电视，并在四周留出清晰边界</x:v>
      </x:c>
      <x:c r="G4" s="16" t="str">
        <x:v>正面墙体全景</x:v>
      </x:c>
      <x:c r="H4" s="16" t="str">
        <x:v>镜头从左向右缓慢横移</x:v>
      </x:c>
      <x:c r="I4" s="16" t="str">
        <x:v>无人物，防护施工已经完成</x:v>
      </x:c>
      <x:c r="J4" s="16" t="str">
        <x:v>以已批准的北欧客厅首帧为起点，保持65英寸壁挂电视、黄色胶带和一体式透明膜的结构完全不变。镜头从左向右缓慢横移，背景产生轻微视差；薄膜只能出现细微自然反光，不得移动、撕裂或消失。全程电视位于同一张透明膜后方，胶带与膜上沿连续连接，禁止人物进入、禁止安装动作、禁止新增胶带、禁止屏幕裸露、禁止文字和标识。</x:v>
      </x:c>
      <x:c r="K4" s="16" t="str">
        <x:v>生成一张9:16竖屏写实商业摄影首帧：正在重新粉刷的明亮北欧风客厅内，一台65英寸超薄壁挂电视固定在浅色墙面。电视上方约12厘米的墙面粘贴一条长度有限、笔直完整的黄色美纹胶带；一整张与胶带同宽的透明PE薄膜永久连接在胶带下沿，从胶带左右端点垂直向下展开，完整覆盖电视屏幕、边框及四周区域。薄膜必须位于电视前方，四边连续、无破口、无分叉、无第二层膜。画面无人物，正面墙体全景，冷色自然日光，真实装修广告质感，不出现文字、标识或水印。</x:v>
      </x:c>
      <x:c r="L4" s="16" t="str">
        <x:v>破膜、裂口、分叉、双层膜、额外胶带、胶带贴在电视上、电视裸露、人物、安装动作、文字、标识、水印</x:v>
      </x:c>
      <x:c r="M4" s="16" t="str">
        <x:v>a2db2b40b93d</x:v>
      </x:c>
      <x:c r="N4" s="16" t="str">
        <x:v>通过</x:v>
      </x:c>
      <x:c r="O4" s="16" t="str">
        <x:v>通过</x:v>
      </x:c>
      <x:c r="P4" s="16" t="str">
        <x:v>5a1fe65799bc295023a3214271fca0dc2e937204ba29e1fb377d2f1808602caf</x:v>
      </x:c>
      <x:c r="Q4" s="16" t="str">
        <x:v>e1cbb570af138da14ef24c8185c9ded84e2c9005570140ac3b2f8a9d6961889b</x:v>
      </x:c>
      <x:c r="R4" s="16" t="str">
        <x:v>seedream-5.0-lite</x:v>
      </x:c>
      <x:c r="S4" s="16" t="str">
        <x:v>grok-imagine-video-1.5-fast</x:v>
      </x:c>
      <x:c r="T4" s="20" t="n">
        <x:v>0.6</x:v>
      </x:c>
      <x:c r="U4" s="16" t="n">
        <x:v>10</x:v>
      </x:c>
      <x:c r="V4" s="16" t="str">
        <x:v>已完成</x:v>
      </x:c>
      <x:c r="W4" s="16" t="str">
        <x:v>../../04_电视_墙面固定_完整膜返工/技术记录（不用看）/approved-candidates/电视完整膜基准.png</x:v>
      </x:c>
      <x:c r="X4" s="16" t="str">
        <x:v>03_视频项目/防尘膜短视频/08_场景单元/06_电视_差异化场景/技术记录（不用看）</x:v>
      </x:c>
      <x:c r="Y4" s="16" t="str">
        <x:v>365df2c1d064cfcd</x:v>
      </x:c>
    </x:row>
    <x:row r="5" ht="300" customHeight="1">
      <x:c r="A5" s="16" t="str">
        <x:v>v02-s01</x:v>
      </x:c>
      <x:c r="B5" s="16" t="str">
        <x:v>电视案例02</x:v>
      </x:c>
      <x:c r="C5" s="16" t="str">
        <x:v>电视</x:v>
      </x:c>
      <x:c r="D5" s="16" t="str">
        <x:v>43英寸紧凑型壁挂平板电视</x:v>
      </x:c>
      <x:c r="E5" s="16" t="str">
        <x:v>正在翻新的暖色精品酒店客房</x:v>
      </x:c>
      <x:c r="F5" s="16" t="str">
        <x:v>透明膜完整覆盖电视，侧边和下沿呈轻微自然垂坠</x:v>
      </x:c>
      <x:c r="G5" s="16" t="str">
        <x:v>从右侧拍摄的四分之三中景</x:v>
      </x:c>
      <x:c r="H5" s="16" t="str">
        <x:v>镜头缓慢向右移动，产生克制的空间视差</x:v>
      </x:c>
      <x:c r="I5" s="16" t="str">
        <x:v>专业欧美油漆工跪在画面左侧，只观察胶带边缘且不触碰产品</x:v>
      </x:c>
      <x:c r="J5" s="16" t="str">
        <x:v>以已批准的酒店客房首帧为起点，保持43英寸电视、跪姿油漆工以及胶带与薄膜的一体式结构不变。镜头缓慢向右移动，产生克制的空间视差；油漆工只把视线从薄膜下沿移向黄色胶带，并轻微点头，不触碰产品。薄膜始终是一整张连续材料，左右端点与胶带对齐，电视全程位于膜后。禁止撕裂、第二层膜、额外胶带、手部接触、屏幕裸露、人物遮挡、说话口型、文字和标识。</x:v>
      </x:c>
      <x:c r="K5" s="16" t="str">
        <x:v>生成一张9:16竖屏写实商业摄影首帧：暖色精品酒店客房正在翻新，一台43英寸紧凑型壁挂电视安装在床头墙面。电视上方约10厘米的墙面粘贴一条笔直、长度有限的黄色美纹胶带；同宽透明PE薄膜永久连接在胶带整个下沿，作为一整张连续薄膜覆盖电视屏幕和边框，左右及下沿有轻微自然垂坠但没有开口。画面左侧是一名穿白色工作服的专业欧美男油漆工，跪姿观察胶带边缘，不接触、不遮挡产品。右侧四分之三中景，暖色实用灯光与柔和日光结合，无文字、标识或水印。</x:v>
      </x:c>
      <x:c r="L5" s="16" t="str">
        <x:v>手触碰薄膜、撕裂塑料、额外胶带、人物遮挡电视、电视裸露、双层膜、说话口型、文字、标识、水印</x:v>
      </x:c>
      <x:c r="M5" s="16" t="str">
        <x:v>9d72917b4125</x:v>
      </x:c>
      <x:c r="N5" s="16" t="str">
        <x:v>通过</x:v>
      </x:c>
      <x:c r="O5" s="16" t="str">
        <x:v>通过</x:v>
      </x:c>
      <x:c r="P5" s="16" t="str">
        <x:v>0303b24d530d619f3aed59ac14065486768a84e9a52c98a21a4b053bd4db78bc</x:v>
      </x:c>
      <x:c r="Q5" s="16" t="str">
        <x:v>c3db73e0a1871d0c6ec6e6918d7d6b3fef82e941b093320cfe58808bea9c58b7</x:v>
      </x:c>
      <x:c r="R5" s="16" t="str">
        <x:v>seedream-5.0-lite</x:v>
      </x:c>
      <x:c r="S5" s="16" t="str">
        <x:v>grok-imagine-video-1.5-fast</x:v>
      </x:c>
      <x:c r="T5" s="20" t="n">
        <x:v>0.6</x:v>
      </x:c>
      <x:c r="U5" s="16" t="n">
        <x:v>10</x:v>
      </x:c>
      <x:c r="V5" s="16" t="str">
        <x:v>已完成</x:v>
      </x:c>
      <x:c r="W5" s="16" t="str">
        <x:v>../../04_电视_墙面固定_完整膜返工/技术记录（不用看）/approved-candidates/电视完整膜基准.png</x:v>
      </x:c>
      <x:c r="X5" s="16" t="str">
        <x:v>03_视频项目/防尘膜短视频/08_场景单元/06_电视_差异化场景/技术记录（不用看）</x:v>
      </x:c>
      <x:c r="Y5" s="16" t="str">
        <x:v>8c9b3e0b2372ea58</x:v>
      </x:c>
    </x:row>
    <x:row r="6" ht="300" customHeight="1">
      <x:c r="A6" s="16" t="str">
        <x:v>v03-s01</x:v>
      </x:c>
      <x:c r="B6" s="16" t="str">
        <x:v>电视案例03</x:v>
      </x:c>
      <x:c r="C6" s="16" t="str">
        <x:v>电视</x:v>
      </x:c>
      <x:c r="D6" s="16" t="str">
        <x:v>75英寸超宽壁挂平板电视</x:v>
      </x:c>
      <x:c r="E6" s="16" t="str">
        <x:v>带白色安装墙面的工业风阁楼影音区</x:v>
      </x:c>
      <x:c r="F6" s="16" t="str">
        <x:v>宽幅透明膜完整覆盖电视，左右留出宽边，下沿轻微绷紧</x:v>
      </x:c>
      <x:c r="G6" s="16" t="str">
        <x:v>低机位广角镜头</x:v>
      </x:c>
      <x:c r="H6" s="16" t="str">
        <x:v>镜头从下方电视柜缓慢向上抬升至黄色胶带</x:v>
      </x:c>
      <x:c r="I6" s="16" t="str">
        <x:v>专业欧美油漆工站在画面最右侧，在防护区域旁做展示手势</x:v>
      </x:c>
      <x:c r="J6" s="16" t="str">
        <x:v>以已批准的工业风阁楼首帧为起点，保持75英寸电视、站立油漆工和整幅一体式防尘膜完全不变。镜头从黑色电视柜开始，缓慢向上抬升至黄色胶带；油漆工只在薄膜边界外做一次幅度很小的开放手掌展示动作。电视全程位于一整张连续透明膜后，膜面不得逐渐消失，胶带和薄膜端点始终对齐。禁止环绕运镜、破膜、双层膜、胶带悬空、额外胶带、电视裸露、人物遮挡、说话、文字和标识。</x:v>
      </x:c>
      <x:c r="K6" s="16" t="str">
        <x:v>生成一张9:16竖屏写实商业摄影首帧：工业风阁楼影音区内，一台75英寸超宽壁挂电视安装在平整白色墙板上。电视上方约15厘米处粘贴一条水平、笔直、长度有限的黄色美纹胶带；一整张宽幅透明PE膜与胶带下沿全长永久连接，左右端点严格对齐，薄膜覆盖整台电视并在左右留下清晰宽边，下沿轻微绷紧。专业欧美男油漆工站在画面最右侧，在薄膜边界之外做开放手掌展示动作，不接触、不遮挡电视。低机位广角构图，工业风黑色电视柜位于前景，无文字、标识或水印。</x:v>
      </x:c>
      <x:c r="L6" s="16" t="str">
        <x:v>环绕运镜、透明膜消失、破膜、胶带超出薄膜、人物遮挡电视、额外塑料层、电视裸露、文字、标识、水印</x:v>
      </x:c>
      <x:c r="M6" s="16" t="str">
        <x:v>fc5af9625de9</x:v>
      </x:c>
      <x:c r="N6" s="16" t="str">
        <x:v>通过</x:v>
      </x:c>
      <x:c r="O6" s="16" t="str">
        <x:v>淘汰</x:v>
      </x:c>
      <x:c r="P6" s="16" t="str">
        <x:v>9fbc6f466b567258e7d6339a36bc6db7522e8b1c60a3d3e55c006dd0606b9060</x:v>
      </x:c>
      <x:c r="Q6" s="16" t="str">
        <x:v>93ae4e3521b49c08de0e3073cdcfb5313fe8e52aabcf823bb6722e7fcd8bb870</x:v>
      </x:c>
      <x:c r="R6" s="16" t="str">
        <x:v>seedream-5.0-lite</x:v>
      </x:c>
      <x:c r="S6" s="16" t="str">
        <x:v>grok-imagine-video-1.5-fast</x:v>
      </x:c>
      <x:c r="T6" s="20" t="n">
        <x:v>0.6</x:v>
      </x:c>
      <x:c r="U6" s="16" t="n">
        <x:v>10</x:v>
      </x:c>
      <x:c r="V6" s="16" t="str">
        <x:v>已完成</x:v>
      </x:c>
      <x:c r="W6" s="16" t="str">
        <x:v>../../04_电视_墙面固定_完整膜返工/技术记录（不用看）/approved-candidates/电视完整膜基准.png</x:v>
      </x:c>
      <x:c r="X6" s="16" t="str">
        <x:v>03_视频项目/防尘膜短视频/08_场景单元/06_电视_差异化场景/技术记录（不用看）</x:v>
      </x:c>
      <x:c r="Y6" s="16" t="str">
        <x:v>c8b6b4f452377c85</x:v>
      </x:c>
    </x:row>
    <x:row r="7" ht="300" customHeight="1">
      <x:c r="A7" s="16" t="str">
        <x:v>v04-s01</x:v>
      </x:c>
      <x:c r="B7" s="16" t="str">
        <x:v>电视案例04</x:v>
      </x:c>
      <x:c r="C7" s="16" t="str">
        <x:v>电视</x:v>
      </x:c>
      <x:c r="D7" s="16" t="str">
        <x:v>55英寸安装在带脚轮移动支架上的平板电视</x:v>
      </x:c>
      <x:c r="E7" s="16" t="str">
        <x:v>正在翻新的现代企业会议室</x:v>
      </x:c>
      <x:c r="F7" s="16" t="str">
        <x:v>透明膜从电视后方墙面胶带垂至地面，完整覆盖电视、支架立柱和底座</x:v>
      </x:c>
      <x:c r="G7" s="16" t="str">
        <x:v>左前方四分之三全身景</x:v>
      </x:c>
      <x:c r="H7" s="16" t="str">
        <x:v>镜头沿对角线缓慢向前推进</x:v>
      </x:c>
      <x:c r="I7" s="16" t="str">
        <x:v>两名施工人员停留在远处背景，不接近防护电视</x:v>
      </x:c>
      <x:c r="J7" s="16" t="str">
        <x:v>以已批准的会议室首帧为起点，保持移动支架电视和整张墙面垂落薄膜的结构完全不变。镜头沿左前方向电视缓慢推进，产生轻微桌椅视差；远处施工人员只做低幅度整理工具动作，不靠近防护区域。透明膜全程从同一条黄色胶带连续垂至地面，电视、立柱和底座始终位于膜后。禁止脚轮移动、人物靠近、膜撕裂、额外胶带、屏幕裸露、文字和标识。</x:v>
      </x:c>
      <x:c r="K7" s="16" t="str">
        <x:v>生成一张9:16竖屏写实商业摄影首帧：现代企业会议室正在翻新，一台55英寸平板电视安装在带脚轮的黑色移动支架上，靠近浅灰墙面。电视后方墙面上粘贴一条比电视和支架更宽、长度有限且笔直的黄色美纹胶带；同宽透明PE膜永久连接在胶带整个下沿，作为一整张连续薄膜垂至地面，完整覆盖电视屏幕、边框、支架立柱和脚轮底座。两名施工人员位于远处背景，不接近或遮挡产品。左前方四分之三全身景，冷白会议室灯光，无破口、双层膜、额外胶带、文字、标识或水印。</x:v>
      </x:c>
      <x:c r="L7" s="16" t="str">
        <x:v>电视支架移动、人物靠近产品、膜未覆盖底座、破膜、双层膜、额外胶带、屏幕裸露、文字、标识、水印</x:v>
      </x:c>
      <x:c r="M7" s="16" t="str">
        <x:v>f9a2c9af6ddd</x:v>
      </x:c>
      <x:c r="N7" s="16" t="str">
        <x:v>待生成</x:v>
      </x:c>
      <x:c r="O7" s="16" t="str">
        <x:v>待生成</x:v>
      </x:c>
      <x:c r="P7" s="16" t="str"/>
      <x:c r="Q7" s="16" t="str"/>
      <x:c r="R7" s="16" t="str">
        <x:v>seedream-5.0-lite</x:v>
      </x:c>
      <x:c r="S7" s="16" t="str">
        <x:v>grok-imagine-video-1.5-fast</x:v>
      </x:c>
      <x:c r="T7" s="20" t="n">
        <x:v>0.6</x:v>
      </x:c>
      <x:c r="U7" s="16" t="n">
        <x:v>10</x:v>
      </x:c>
      <x:c r="V7" s="16" t="str">
        <x:v>待生成</x:v>
      </x:c>
      <x:c r="W7" s="16" t="str"/>
      <x:c r="X7" s="16" t="str">
        <x:v>仅台账计划，尚未建立生成项目</x:v>
      </x:c>
      <x:c r="Y7" s="16" t="str">
        <x:v>c19ef482ca441899</x:v>
      </x:c>
    </x:row>
    <x:row r="8" ht="300" customHeight="1">
      <x:c r="A8" s="16" t="str">
        <x:v>v05-s01</x:v>
      </x:c>
      <x:c r="B8" s="16" t="str">
        <x:v>电视案例05</x:v>
      </x:c>
      <x:c r="C8" s="16" t="str">
        <x:v>电视</x:v>
      </x:c>
      <x:c r="D8" s="16" t="str">
        <x:v>32英寸小型超薄壁挂电视</x:v>
      </x:c>
      <x:c r="E8" s="16" t="str">
        <x:v>正在改造的明亮公寓厨房用餐区</x:v>
      </x:c>
      <x:c r="F8" s="16" t="str">
        <x:v>窄幅透明膜从墙面胶带完整覆盖小电视，并延伸至下方餐边台前沿</x:v>
      </x:c>
      <x:c r="G8" s="16" t="str">
        <x:v>正面中近景</x:v>
      </x:c>
      <x:c r="H8" s="16" t="str">
        <x:v>镜头从黄色胶带缓慢向下移动至餐边台</x:v>
      </x:c>
      <x:c r="I8" s="16" t="str">
        <x:v>专业欧美女油漆工站在画面右后方检查墙面，不触碰薄膜</x:v>
      </x:c>
      <x:c r="J8" s="16" t="str">
        <x:v>以已批准的公寓厨房首帧为起点，保持32英寸电视、餐边台和一体式胶带薄膜结构不变。镜头从黄色胶带开始缓慢向下移动至被覆盖的餐边台前沿；右后方油漆工只转动视线检查墙面，不靠近产品。薄膜必须始终连续覆盖电视和台面边缘，不得收缩、分叉或产生第二层。禁止手部接触、额外胶带、屏幕裸露、说话、文字和标识。</x:v>
      </x:c>
      <x:c r="K8" s="16" t="str">
        <x:v>生成一张9:16竖屏写实商业摄影首帧：明亮公寓厨房用餐区正在改造，一台32英寸小型超薄电视壁挂在白色墙面，下面是浅木色餐边台。电视上方约10厘米处粘贴一条长度有限、笔直的黄色美纹胶带；一整张同宽透明PE膜永久连接在胶带下沿，连续覆盖电视屏幕和边框，并向下延伸覆盖餐边台前沿。专业欧美女油漆工站在画面右后方检查远离产品的墙面，不接触薄膜。正面中近景，明亮日光，无开口、无第二片膜、无额外胶带、无裸露电视、无文字、标识或水印。</x:v>
      </x:c>
      <x:c r="L8" s="16" t="str">
        <x:v>大尺寸电视、油漆工触碰薄膜、餐边台裸露、薄膜收缩、第二层膜、额外胶带、屏幕裸露、文字、标识、水印</x:v>
      </x:c>
      <x:c r="M8" s="16" t="str">
        <x:v>4bde66615eef</x:v>
      </x:c>
      <x:c r="N8" s="16" t="str">
        <x:v>待生成</x:v>
      </x:c>
      <x:c r="O8" s="16" t="str">
        <x:v>待生成</x:v>
      </x:c>
      <x:c r="P8" s="16" t="str"/>
      <x:c r="Q8" s="16" t="str"/>
      <x:c r="R8" s="16" t="str">
        <x:v>seedream-5.0-lite</x:v>
      </x:c>
      <x:c r="S8" s="16" t="str">
        <x:v>grok-imagine-video-1.5-fast</x:v>
      </x:c>
      <x:c r="T8" s="20" t="n">
        <x:v>0.6</x:v>
      </x:c>
      <x:c r="U8" s="16" t="n">
        <x:v>10</x:v>
      </x:c>
      <x:c r="V8" s="16" t="str">
        <x:v>待生成</x:v>
      </x:c>
      <x:c r="W8" s="16" t="str"/>
      <x:c r="X8" s="16" t="str">
        <x:v>仅台账计划，尚未建立生成项目</x:v>
      </x:c>
      <x:c r="Y8" s="16" t="str">
        <x:v>81e3b8a90c385099</x:v>
      </x:c>
    </x:row>
    <x:row r="9" ht="300" customHeight="1">
      <x:c r="A9" s="16" t="str">
        <x:v>v06-s01</x:v>
      </x:c>
      <x:c r="B9" s="16" t="str">
        <x:v>电视案例06</x:v>
      </x:c>
      <x:c r="C9" s="16" t="str">
        <x:v>电视</x:v>
      </x:c>
      <x:c r="D9" s="16" t="str">
        <x:v>85英寸超大会议室壁挂显示电视</x:v>
      </x:c>
      <x:c r="E9" s="16" t="str">
        <x:v>高层写字楼大型董事会议室翻新区</x:v>
      </x:c>
      <x:c r="F9" s="16" t="str">
        <x:v>超宽透明膜从整条墙面胶带垂落，完整覆盖大屏及其下方接口区域</x:v>
      </x:c>
      <x:c r="G9" s="16" t="str">
        <x:v>正面对称超广角全景</x:v>
      </x:c>
      <x:c r="H9" s="16" t="str">
        <x:v>镜头沿中轴线非常缓慢地向前推进</x:v>
      </x:c>
      <x:c r="I9" s="16" t="str">
        <x:v>无人物，桌椅已移开，防护状态完整展示</x:v>
      </x:c>
      <x:c r="J9" s="16" t="str">
        <x:v>以已批准的董事会议室首帧为起点，保持85英寸大屏和超宽一体式透明膜完全不变。镜头沿房间中轴线非常缓慢地向前推进，会议桌边缘产生对称视差；画面无人进入。薄膜全程保持完整矩形边界，黄色胶带与膜上沿等宽连续，大屏及接口区域始终位于膜后。禁止屏幕点亮、薄膜消失、胶带变长、第二层膜、人物、文字和标识。</x:v>
      </x:c>
      <x:c r="K9" s="16" t="str">
        <x:v>生成一张9:16竖屏写实商业摄影首帧：高层写字楼的大型董事会议室正在翻新，一台85英寸超大显示电视居中壁挂在深灰色装饰墙上，桌椅已移到两侧。电视上方约18厘米处粘贴一条超宽但长度有限、笔直完整的黄色美纹胶带；一整张同宽透明PE膜永久连接在胶带下沿，连续覆盖整块大屏、所有边框和下方接口区域，左右边界垂直清晰。无人物，正面对称超广角全景，窗外城市日光柔和，无薄膜缺角、胶带超出、第二层膜、文字、标识或水印。</x:v>
      </x:c>
      <x:c r="L9" s="16" t="str">
        <x:v>屏幕点亮、薄膜消失、胶带超出薄膜、双层膜、人物进入、大屏裸露、接口裸露、文字、标识、水印</x:v>
      </x:c>
      <x:c r="M9" s="16" t="str">
        <x:v>30db797cc154</x:v>
      </x:c>
      <x:c r="N9" s="16" t="str">
        <x:v>待生成</x:v>
      </x:c>
      <x:c r="O9" s="16" t="str">
        <x:v>待生成</x:v>
      </x:c>
      <x:c r="P9" s="16" t="str"/>
      <x:c r="Q9" s="16" t="str"/>
      <x:c r="R9" s="16" t="str">
        <x:v>seedream-5.0-lite</x:v>
      </x:c>
      <x:c r="S9" s="16" t="str">
        <x:v>grok-imagine-video-1.5-fast</x:v>
      </x:c>
      <x:c r="T9" s="20" t="n">
        <x:v>0.6</x:v>
      </x:c>
      <x:c r="U9" s="16" t="n">
        <x:v>10</x:v>
      </x:c>
      <x:c r="V9" s="16" t="str">
        <x:v>待生成</x:v>
      </x:c>
      <x:c r="W9" s="16" t="str"/>
      <x:c r="X9" s="16" t="str">
        <x:v>仅台账计划，尚未建立生成项目</x:v>
      </x:c>
      <x:c r="Y9" s="16" t="str">
        <x:v>302b99bbb4073844</x:v>
      </x:c>
    </x:row>
    <x:row r="10" ht="300" customHeight="1">
      <x:c r="A10" s="16" t="str">
        <x:v>v07-s01</x:v>
      </x:c>
      <x:c r="B10" s="16" t="str">
        <x:v>电视案例07</x:v>
      </x:c>
      <x:c r="C10" s="16" t="str">
        <x:v>电视</x:v>
      </x:c>
      <x:c r="D10" s="16" t="str">
        <x:v>50英寸带中央底座的台式平板电视</x:v>
      </x:c>
      <x:c r="E10" s="16" t="str">
        <x:v>正在粉刷的学校多媒体教室</x:v>
      </x:c>
      <x:c r="F10" s="16" t="str">
        <x:v>透明膜从黑板旁墙面胶带垂下，完整覆盖电视、中央底座和讲台台面</x:v>
      </x:c>
      <x:c r="G10" s="16" t="str">
        <x:v>右前方环境中景</x:v>
      </x:c>
      <x:c r="H10" s="16" t="str">
        <x:v>镜头从右前方向左后方缓慢侧移</x:v>
      </x:c>
      <x:c r="I10" s="16" t="str">
        <x:v>一名专业欧美油漆工站在远端手持滚筒，保持静止</x:v>
      </x:c>
      <x:c r="J10" s="16" t="str">
        <x:v>以已批准的多媒体教室首帧为起点，保持台式电视、中央底座、讲台和整张透明膜结构不变。镜头从右前方向左后方缓慢侧移，课桌产生轻微视差；远端油漆工保持静止，只轻微调整握持滚筒的姿势。薄膜全程覆盖电视、底座和讲台台面，胶带和膜左右端点始终对齐。禁止人物走动、滚筒接触薄膜、底座裸露、第二层膜、额外胶带、文字和标识。</x:v>
      </x:c>
      <x:c r="K10" s="16" t="str">
        <x:v>生成一张9:16竖屏写实商业摄影首帧：学校多媒体教室正在粉刷，一台50英寸带中央底座的台式平板电视放在木质讲台上，靠近黑板旁的白墙。墙面上粘贴一条覆盖电视和讲台宽度的有限黄色美纹胶带；同宽透明PE膜永久连接在胶带下沿，作为一整张连续薄膜完整覆盖电视、中央底座和讲台台面。专业欧美油漆工站在远端手持滚筒并保持静止，不接近防护区。右前方环境中景，柔和教室日光，无薄膜开口、无额外胶带、无电视裸露、无文字、标识或水印。</x:v>
      </x:c>
      <x:c r="L10" s="16" t="str">
        <x:v>人物走动、滚筒触碰薄膜、中央底座裸露、讲台裸露、双层膜、额外胶带、文字、标识、水印</x:v>
      </x:c>
      <x:c r="M10" s="16" t="str">
        <x:v>d2e0e1c22b55</x:v>
      </x:c>
      <x:c r="N10" s="16" t="str">
        <x:v>待生成</x:v>
      </x:c>
      <x:c r="O10" s="16" t="str">
        <x:v>待生成</x:v>
      </x:c>
      <x:c r="P10" s="16" t="str"/>
      <x:c r="Q10" s="16" t="str"/>
      <x:c r="R10" s="16" t="str">
        <x:v>seedream-5.0-lite</x:v>
      </x:c>
      <x:c r="S10" s="16" t="str">
        <x:v>grok-imagine-video-1.5-fast</x:v>
      </x:c>
      <x:c r="T10" s="20" t="n">
        <x:v>0.6</x:v>
      </x:c>
      <x:c r="U10" s="16" t="n">
        <x:v>10</x:v>
      </x:c>
      <x:c r="V10" s="16" t="str">
        <x:v>待生成</x:v>
      </x:c>
      <x:c r="W10" s="16" t="str"/>
      <x:c r="X10" s="16" t="str">
        <x:v>仅台账计划，尚未建立生成项目</x:v>
      </x:c>
      <x:c r="Y10" s="16" t="str">
        <x:v>9c15598cfb500bba</x:v>
      </x:c>
    </x:row>
    <x:row r="11" ht="300" customHeight="1">
      <x:c r="A11" s="16" t="str">
        <x:v>v08-s01</x:v>
      </x:c>
      <x:c r="B11" s="16" t="str">
        <x:v>电视案例08</x:v>
      </x:c>
      <x:c r="C11" s="16" t="str">
        <x:v>电视</x:v>
      </x:c>
      <x:c r="D11" s="16" t="str">
        <x:v>21英寸复古显像管电视</x:v>
      </x:c>
      <x:c r="E11" s="16" t="str">
        <x:v>正在翻新的老式砖墙公寓客厅</x:v>
      </x:c>
      <x:c r="F11" s="16" t="str">
        <x:v>透明膜从砖墙胶带垂下，完整包覆厚电视机身和下方矮柜</x:v>
      </x:c>
      <x:c r="G11" s="16" t="str">
        <x:v>低机位近景</x:v>
      </x:c>
      <x:c r="H11" s="16" t="str">
        <x:v>镜头以极慢速度向复古电视正面推进</x:v>
      </x:c>
      <x:c r="I11" s="16" t="str">
        <x:v>无人物，防护施工完成，周围工具静置</x:v>
      </x:c>
      <x:c r="J11" s="16" t="str">
        <x:v>以已批准的复古公寓首帧为起点，保持显像管电视、木质矮柜和一体式防护膜结构不变。镜头以极慢速度向电视正面推进，透明膜只出现柔和反光，凸屏和厚机身始终完整位于同一张膜后。画面无人进入，工具保持静止。禁止电视变成平板、屏幕点亮、薄膜穿入机身、第二层膜、额外胶带、文字和标识。</x:v>
      </x:c>
      <x:c r="K11" s="16" t="str">
        <x:v>生成一张9:16竖屏写实商业摄影首帧：正在翻新的老式砖墙公寓客厅内，一台21英寸复古显像管电视放在深色木质矮柜上，机身厚重、屏幕微凸。电视上方砖墙粘贴一条长度有限、笔直完整的黄色美纹胶带；一整张同宽透明PE膜永久连接在胶带下沿，连续包覆显像管电视的顶部、凸屏、厚侧面和矮柜前沿。无人物，装修工具静置在远处，低机位近景，暖色窗光，无膜面开口、无重复薄膜、无额外胶带、无文字、标识或水印。</x:v>
      </x:c>
      <x:c r="L11" s="16" t="str">
        <x:v>电视变成平板、屏幕点亮、薄膜穿模、厚机身裸露、双层膜、额外胶带、人物、文字、标识、水印</x:v>
      </x:c>
      <x:c r="M11" s="16" t="str">
        <x:v>27f48a0869e7</x:v>
      </x:c>
      <x:c r="N11" s="16" t="str">
        <x:v>待生成</x:v>
      </x:c>
      <x:c r="O11" s="16" t="str">
        <x:v>待生成</x:v>
      </x:c>
      <x:c r="P11" s="16" t="str"/>
      <x:c r="Q11" s="16" t="str"/>
      <x:c r="R11" s="16" t="str">
        <x:v>seedream-5.0-lite</x:v>
      </x:c>
      <x:c r="S11" s="16" t="str">
        <x:v>grok-imagine-video-1.5-fast</x:v>
      </x:c>
      <x:c r="T11" s="20" t="n">
        <x:v>0.6</x:v>
      </x:c>
      <x:c r="U11" s="16" t="n">
        <x:v>10</x:v>
      </x:c>
      <x:c r="V11" s="16" t="str">
        <x:v>待生成</x:v>
      </x:c>
      <x:c r="W11" s="16" t="str"/>
      <x:c r="X11" s="16" t="str">
        <x:v>仅台账计划，尚未建立生成项目</x:v>
      </x:c>
      <x:c r="Y11" s="16" t="str">
        <x:v>8b75f65c54dcac7d</x:v>
      </x:c>
    </x:row>
    <x:row r="12" ht="300" customHeight="1">
      <x:c r="A12" s="16" t="str">
        <x:v>v09-s01</x:v>
      </x:c>
      <x:c r="B12" s="16" t="str">
        <x:v>电视案例09</x:v>
      </x:c>
      <x:c r="C12" s="16" t="str">
        <x:v>电视</x:v>
      </x:c>
      <x:c r="D12" s="16" t="str">
        <x:v>48英寸户外防水壁挂电视</x:v>
      </x:c>
      <x:c r="E12" s="16" t="str">
        <x:v>正在重新涂装的有顶露台休闲区</x:v>
      </x:c>
      <x:c r="F12" s="16" t="str">
        <x:v>抗风状态的透明膜绷紧覆盖电视，侧边固定清晰且下沿不飘起</x:v>
      </x:c>
      <x:c r="G12" s="16" t="str">
        <x:v>从左侧拍摄的环境中远景</x:v>
      </x:c>
      <x:c r="H12" s="16" t="str">
        <x:v>镜头沿露台边缘从左向右平稳跟移</x:v>
      </x:c>
      <x:c r="I12" s="16" t="str">
        <x:v>专业欧美油漆工站在画面右侧检查远处墙角，不触碰产品</x:v>
      </x:c>
      <x:c r="J12" s="16" t="str">
        <x:v>以已批准的有顶露台首帧为起点，保持户外电视、油漆工和绷紧透明膜结构不变。镜头沿露台边缘从左向右平稳跟移，背景绿植产生轻微视差；膜面仅允许极小幅度自然颤动，下沿不得掀起，胶带与膜上沿必须持续连接。油漆工只检查远处墙角。禁止大风吹开薄膜、雨水、膜脱落、额外胶带、屏幕裸露、人物靠近、文字和标识。</x:v>
      </x:c>
      <x:c r="K12" s="16" t="str">
        <x:v>生成一张9:16竖屏写实商业摄影首帧：有顶露台休闲区正在重新涂装，一台48英寸户外防水电视壁挂在浅色外墙上，背景可见虚化绿植。电视上方约12厘米处粘贴一条有限长度、笔直完整的黄色美纹胶带；一整张同宽透明PE膜永久连接在胶带下沿，以轻微绷紧的抗风状态完整覆盖电视屏幕和边框，左右边界平直，下沿不飘起。专业欧美油漆工站在画面右侧检查远处墙角，不接触产品。左侧环境中远景，阴天柔光，无破膜、额外胶带、电视裸露、文字、标识或水印。</x:v>
      </x:c>
      <x:c r="L12" s="16" t="str">
        <x:v>强风掀膜、膜脱落、雨水、胶带松脱、额外胶带、人物靠近、屏幕裸露、文字、标识、水印</x:v>
      </x:c>
      <x:c r="M12" s="16" t="str">
        <x:v>a9a49568cf79</x:v>
      </x:c>
      <x:c r="N12" s="16" t="str">
        <x:v>待生成</x:v>
      </x:c>
      <x:c r="O12" s="16" t="str">
        <x:v>待生成</x:v>
      </x:c>
      <x:c r="P12" s="16" t="str"/>
      <x:c r="Q12" s="16" t="str"/>
      <x:c r="R12" s="16" t="str">
        <x:v>seedream-5.0-lite</x:v>
      </x:c>
      <x:c r="S12" s="16" t="str">
        <x:v>grok-imagine-video-1.5-fast</x:v>
      </x:c>
      <x:c r="T12" s="20" t="n">
        <x:v>0.6</x:v>
      </x:c>
      <x:c r="U12" s="16" t="n">
        <x:v>10</x:v>
      </x:c>
      <x:c r="V12" s="16" t="str">
        <x:v>待生成</x:v>
      </x:c>
      <x:c r="W12" s="16" t="str"/>
      <x:c r="X12" s="16" t="str">
        <x:v>仅台账计划，尚未建立生成项目</x:v>
      </x:c>
      <x:c r="Y12" s="16" t="str">
        <x:v>058501105e2b5b9a</x:v>
      </x:c>
    </x:row>
    <x:row r="13" ht="300" customHeight="1">
      <x:c r="A13" s="16" t="str">
        <x:v>v10-s01</x:v>
      </x:c>
      <x:c r="B13" s="16" t="str">
        <x:v>电视案例10</x:v>
      </x:c>
      <x:c r="C13" s="16" t="str">
        <x:v>电视</x:v>
      </x:c>
      <x:c r="D13" s="16" t="str">
        <x:v>55英寸嵌入式壁龛平板电视</x:v>
      </x:c>
      <x:c r="E13" s="16" t="str">
        <x:v>正在翻新的高端客厅整墙柜区域</x:v>
      </x:c>
      <x:c r="F13" s="16" t="str">
        <x:v>透明膜从壁龛上沿柜板胶带垂下，完整封住电视壁龛开口</x:v>
      </x:c>
      <x:c r="G13" s="16" t="str">
        <x:v>正面偏右的宽幅中景</x:v>
      </x:c>
      <x:c r="H13" s="16" t="str">
        <x:v>镜头从壁龛细节缓慢向后拉远至整墙柜</x:v>
      </x:c>
      <x:c r="I13" s="16" t="str">
        <x:v>专业欧美油漆工跪在画面右下方展示壁龛防护，不触碰薄膜</x:v>
      </x:c>
      <x:c r="J13" s="16" t="str">
        <x:v>以已批准的整墙柜壁龛首帧为起点，保持嵌入式电视、壁龛、跪姿油漆工和完整透明膜结构不变。镜头从黄色胶带与壁龛上沿的连接细节开始，缓慢向后拉远，展示整墙柜范围；油漆工只做一次小幅开放手掌动作。透明膜全程完整封住壁龛开口，电视不得跑到膜前。禁止膜贴到电视屏幕、胶带悬空、壁龛开口裸露、第二层膜、额外胶带、说话、文字和标识。</x:v>
      </x:c>
      <x:c r="K13" s="16" t="str">
        <x:v>生成一张9:16竖屏写实商业摄影首帧：高端客厅的整墙柜区域正在翻新，一台55英寸平板电视嵌入木质壁龛。壁龛开口上沿的水平柜板粘贴一条长度与开口相同、笔直完整的黄色美纹胶带；一整张同宽透明PE膜永久连接在胶带下沿，像透明帘幕一样完整封住整个壁龛开口，电视和壁龛内侧全部位于膜后。专业欧美油漆工跪在画面右下方，在薄膜边界外做展示手势，不触碰产品。正面偏右宽幅中景，暖色室内光，无膜面缺角、胶带悬空、额外胶带、文字、标识或水印。</x:v>
      </x:c>
      <x:c r="L13" s="16" t="str">
        <x:v>膜贴在电视屏幕上、胶带悬空、壁龛裸露、电视跑到膜前、双层膜、额外胶带、人物触碰、文字、标识、水印</x:v>
      </x:c>
      <x:c r="M13" s="16" t="str">
        <x:v>51afb9a8bc5d</x:v>
      </x:c>
      <x:c r="N13" s="16" t="str">
        <x:v>待生成</x:v>
      </x:c>
      <x:c r="O13" s="16" t="str">
        <x:v>待生成</x:v>
      </x:c>
      <x:c r="P13" s="16" t="str"/>
      <x:c r="Q13" s="16" t="str"/>
      <x:c r="R13" s="16" t="str">
        <x:v>seedream-5.0-lite</x:v>
      </x:c>
      <x:c r="S13" s="16" t="str">
        <x:v>grok-imagine-video-1.5-fast</x:v>
      </x:c>
      <x:c r="T13" s="20" t="n">
        <x:v>0.6</x:v>
      </x:c>
      <x:c r="U13" s="16" t="n">
        <x:v>10</x:v>
      </x:c>
      <x:c r="V13" s="16" t="str">
        <x:v>待生成</x:v>
      </x:c>
      <x:c r="W13" s="16" t="str"/>
      <x:c r="X13" s="16" t="str">
        <x:v>仅台账计划，尚未建立生成项目</x:v>
      </x:c>
      <x:c r="Y13" s="16" t="str">
        <x:v>51e5b0d1d388fff7</x:v>
      </x:c>
    </x:row>
  </x:sheetData>
  <x:mergeCells>
    <x:mergeCell ref="A1:Y1"/>
  </x:mergeCells>
  <x:conditionalFormatting sqref="N4:O13">
    <x:cfRule type="containsText" dxfId="0" priority="1" operator="containsText" text="通过"/>
    <x:cfRule type="containsText" dxfId="1" priority="2" operator="containsText" text="淘汰"/>
    <x:cfRule type="containsText" dxfId="2" priority="3" operator="containsText" text="待"/>
  </x:conditionalFormatting>
  <x:pageMargins left="0.7" right="0.7" top="0.75" bottom="0.75" header="0.3" footer="0.3"/>
  <x:tableParts count="1">
    <x:tablePart xmlns:r="http://schemas.openxmlformats.org/officeDocument/2006/relationships" r:id="R482b238b295d4a5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2" customHeight="1">
      <x:c r="A1" s="3" t="str">
        <x:v>电视 AI 视频素材策略台账</x:v>
      </x:c>
      <x:c r="B1" s="3" t="str">
        <x:v>电视 AI 视频素材策略台账</x:v>
      </x:c>
      <x:c r="C1" s="3" t="str">
        <x:v>电视 AI 视频素材策略台账</x:v>
      </x:c>
      <x:c r="D1" s="3" t="str">
        <x:v>电视 AI 视频素材策略台账</x:v>
      </x:c>
      <x:c r="E1" s="3" t="str">
        <x:v>电视 AI 视频素材策略台账</x:v>
      </x:c>
      <x:c r="F1" s="3" t="str">
        <x:v>电视 AI 视频素材策略台账</x:v>
      </x:c>
    </x:row>
    <x:row r="2">
      <x:c r="A2" s="17"/>
      <x:c r="B2" s="17"/>
      <x:c r="C2" s="17"/>
      <x:c r="D2" s="17"/>
      <x:c r="E2" s="17"/>
      <x:c r="F2" s="17"/>
    </x:row>
    <x:row r="3" ht="30" customHeight="1">
      <x:c r="A3" s="10" t="str">
        <x:v>指标</x:v>
      </x:c>
      <x:c r="B3" s="11" t="str">
        <x:v>当前值</x:v>
      </x:c>
      <x:c r="C3" s="17"/>
      <x:c r="D3" s="17"/>
      <x:c r="E3" s="17"/>
      <x:c r="F3" s="17"/>
    </x:row>
    <x:row r="4">
      <x:c r="A4" s="17" t="str">
        <x:v>差异化案例数</x:v>
      </x:c>
      <x:c r="B4" s="17" t="n">
        <x:f>COUNTA('视频策略库'!$A$4:$A$100)</x:f>
        <x:v>10</x:v>
      </x:c>
      <x:c r="C4" s="17"/>
      <x:c r="D4" s="17"/>
      <x:c r="E4" s="17"/>
      <x:c r="F4" s="17"/>
    </x:row>
    <x:row r="5">
      <x:c r="A5" s="17" t="str">
        <x:v>唯一七维组合数</x:v>
      </x:c>
      <x:c r="B5" s="17" t="n">
        <x:f>COUNTA('视频策略库'!$M$4:$M$100)</x:f>
        <x:v>10</x:v>
      </x:c>
      <x:c r="C5" s="17"/>
      <x:c r="D5" s="17"/>
      <x:c r="E5" s="17"/>
      <x:c r="F5" s="17"/>
    </x:row>
    <x:row r="6">
      <x:c r="A6" s="17" t="str">
        <x:v>首帧通过数</x:v>
      </x:c>
      <x:c r="B6" s="17" t="n">
        <x:f>COUNTIF('视频策略库'!$N$4:$N$100,"通过")</x:f>
        <x:v>3</x:v>
      </x:c>
      <x:c r="C6" s="17"/>
      <x:c r="D6" s="17"/>
      <x:c r="E6" s="17"/>
      <x:c r="F6" s="17"/>
    </x:row>
    <x:row r="7">
      <x:c r="A7" s="17" t="str">
        <x:v>视频通过数</x:v>
      </x:c>
      <x:c r="B7" s="17" t="n">
        <x:f>COUNTIF('视频策略库'!$O$4:$O$100,"通过")</x:f>
        <x:v>2</x:v>
      </x:c>
      <x:c r="C7" s="17"/>
      <x:c r="D7" s="17"/>
      <x:c r="E7" s="17"/>
      <x:c r="F7" s="17"/>
    </x:row>
    <x:row r="8">
      <x:c r="A8" s="17" t="str">
        <x:v>全部案例预计视频费用（元）</x:v>
      </x:c>
      <x:c r="B8" s="18" t="n">
        <x:f>ROUND(SUM('视频策略库'!$T$4:$T$100),2)</x:f>
        <x:v>6</x:v>
      </x:c>
      <x:c r="C8" s="17"/>
      <x:c r="D8" s="17"/>
      <x:c r="E8" s="17"/>
      <x:c r="F8" s="17"/>
    </x:row>
    <x:row r="9">
      <x:c r="A9" s="17"/>
      <x:c r="B9" s="17"/>
      <x:c r="C9" s="17"/>
      <x:c r="D9" s="17"/>
      <x:c r="E9" s="17"/>
      <x:c r="F9" s="17"/>
    </x:row>
    <x:row r="10" ht="30" customHeight="1">
      <x:c r="A10" s="10" t="str">
        <x:v>使用说明</x:v>
      </x:c>
      <x:c r="B10" s="15"/>
      <x:c r="C10" s="15"/>
      <x:c r="D10" s="15"/>
      <x:c r="E10" s="15"/>
      <x:c r="F10" s="11"/>
    </x:row>
    <x:row r="11">
      <x:c r="A11" s="19" t="str">
        <x:v>数据来源</x:v>
      </x:c>
      <x:c r="B11" s="19" t="str">
        <x:v>已生成案例来自 project.json；待生成案例为台账中的策略计划</x:v>
      </x:c>
      <x:c r="C11" s="19"/>
      <x:c r="D11" s="19"/>
      <x:c r="E11" s="19"/>
      <x:c r="F11" s="19"/>
    </x:row>
    <x:row r="12">
      <x:c r="A12" s="19" t="str">
        <x:v>台账定位</x:v>
      </x:c>
      <x:c r="B12" s="19" t="str">
        <x:v>主表逐行列出七维组合、首帧提示词和对应的视频生成提示词；待生成案例不计为已完成</x:v>
      </x:c>
      <x:c r="C12" s="19"/>
      <x:c r="D12" s="19"/>
      <x:c r="E12" s="19"/>
      <x:c r="F12" s="19"/>
    </x:row>
    <x:row r="13">
      <x:c r="A13" s="19" t="str">
        <x:v>同步规则</x:v>
      </x:c>
      <x:c r="B13" s="19" t="str">
        <x:v>提示词或状态变化后重新运行台账生成器，不在 Excel 内反向修改 JSON</x:v>
      </x:c>
      <x:c r="C13" s="19"/>
      <x:c r="D13" s="19"/>
      <x:c r="E13" s="19"/>
      <x:c r="F13" s="19"/>
    </x:row>
  </x:sheetData>
  <x:mergeCells>
    <x:mergeCell ref="A1:F1"/>
    <x:mergeCell ref="A10:F10"/>
    <x:mergeCell ref="B11:F11"/>
    <x:mergeCell ref="B12:F12"/>
    <x:mergeCell ref="B13:F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70" hidden="0" customWidth="1"/>
    <x:col min="3" max="3" width="70" hidden="0" customWidth="1"/>
    <x:col min="4" max="4" width="30" hidden="0" customWidth="1"/>
    <x:col min="5" max="5" width="30" hidden="0" customWidth="1"/>
    <x:col min="6" max="6" width="20" hidden="0" customWidth="1"/>
  </x:cols>
  <x:sheetData>
    <x:row r="1" ht="32" customHeight="1">
      <x:c r="A1" s="3" t="str">
        <x:v>电视提示词档案｜真实流水线：首帧文生图 → 图生视频</x:v>
      </x:c>
      <x:c r="B1" s="3" t="str">
        <x:v>电视提示词档案｜真实流水线：首帧文生图 → 图生视频</x:v>
      </x:c>
      <x:c r="C1" s="3" t="str">
        <x:v>电视提示词档案｜真实流水线：首帧文生图 → 图生视频</x:v>
      </x:c>
      <x:c r="D1" s="3" t="str">
        <x:v>电视提示词档案｜真实流水线：首帧文生图 → 图生视频</x:v>
      </x:c>
      <x:c r="E1" s="3" t="str">
        <x:v>电视提示词档案｜真实流水线：首帧文生图 → 图生视频</x:v>
      </x:c>
      <x:c r="F1" s="3" t="str">
        <x:v>电视提示词档案｜真实流水线：首帧文生图 → 图生视频</x:v>
      </x:c>
    </x:row>
    <x:row r="3" ht="30" customHeight="1">
      <x:c r="A3" s="10" t="str">
        <x:v>案例ID</x:v>
      </x:c>
      <x:c r="B3" s="15" t="str">
        <x:v>视频生成提示词（图生视频）</x:v>
      </x:c>
      <x:c r="C3" s="15" t="str">
        <x:v>首帧提示词（文生图）</x:v>
      </x:c>
      <x:c r="D3" s="15" t="str">
        <x:v>负面提示词</x:v>
      </x:c>
      <x:c r="E3" s="15" t="str">
        <x:v>参考图片</x:v>
      </x:c>
      <x:c r="F3" s="11" t="str">
        <x:v>视频提示词哈希</x:v>
      </x:c>
    </x:row>
    <x:row r="4" ht="300" customHeight="1">
      <x:c r="A4" s="16" t="str">
        <x:v>v01-s01</x:v>
      </x:c>
      <x:c r="B4" s="16" t="str">
        <x:v>以已批准的北欧客厅首帧为起点，保持65英寸壁挂电视、黄色胶带和一体式透明膜的结构完全不变。镜头从左向右缓慢横移，背景产生轻微视差；薄膜只能出现细微自然反光，不得移动、撕裂或消失。全程电视位于同一张透明膜后方，胶带与膜上沿连续连接，禁止人物进入、禁止安装动作、禁止新增胶带、禁止屏幕裸露、禁止文字和标识。</x:v>
      </x:c>
      <x:c r="C4" s="16" t="str">
        <x:v>生成一张9:16竖屏写实商业摄影首帧：正在重新粉刷的明亮北欧风客厅内，一台65英寸超薄壁挂电视固定在浅色墙面。电视上方约12厘米的墙面粘贴一条长度有限、笔直完整的黄色美纹胶带；一整张与胶带同宽的透明PE薄膜永久连接在胶带下沿，从胶带左右端点垂直向下展开，完整覆盖电视屏幕、边框及四周区域。薄膜必须位于电视前方，四边连续、无破口、无分叉、无第二层膜。画面无人物，正面墙体全景，冷色自然日光，真实装修广告质感，不出现文字、标识或水印。</x:v>
      </x:c>
      <x:c r="D4" s="16" t="str">
        <x:v>破膜、裂口、分叉、双层膜、额外胶带、胶带贴在电视上、电视裸露、人物、安装动作、文字、标识、水印</x:v>
      </x:c>
      <x:c r="E4" s="16" t="str">
        <x:v>../../04_电视_墙面固定_完整膜返工/技术记录（不用看）/approved-candidates/电视完整膜基准.png</x:v>
      </x:c>
      <x:c r="F4" s="16" t="str">
        <x:v>365df2c1d064cfcd</x:v>
      </x:c>
    </x:row>
    <x:row r="5" ht="300" customHeight="1">
      <x:c r="A5" s="16" t="str">
        <x:v>v02-s01</x:v>
      </x:c>
      <x:c r="B5" s="16" t="str">
        <x:v>以已批准的酒店客房首帧为起点，保持43英寸电视、跪姿油漆工以及胶带与薄膜的一体式结构不变。镜头缓慢向右移动，产生克制的空间视差；油漆工只把视线从薄膜下沿移向黄色胶带，并轻微点头，不触碰产品。薄膜始终是一整张连续材料，左右端点与胶带对齐，电视全程位于膜后。禁止撕裂、第二层膜、额外胶带、手部接触、屏幕裸露、人物遮挡、说话口型、文字和标识。</x:v>
      </x:c>
      <x:c r="C5" s="16" t="str">
        <x:v>生成一张9:16竖屏写实商业摄影首帧：暖色精品酒店客房正在翻新，一台43英寸紧凑型壁挂电视安装在床头墙面。电视上方约10厘米的墙面粘贴一条笔直、长度有限的黄色美纹胶带；同宽透明PE薄膜永久连接在胶带整个下沿，作为一整张连续薄膜覆盖电视屏幕和边框，左右及下沿有轻微自然垂坠但没有开口。画面左侧是一名穿白色工作服的专业欧美男油漆工，跪姿观察胶带边缘，不接触、不遮挡产品。右侧四分之三中景，暖色实用灯光与柔和日光结合，无文字、标识或水印。</x:v>
      </x:c>
      <x:c r="D5" s="16" t="str">
        <x:v>手触碰薄膜、撕裂塑料、额外胶带、人物遮挡电视、电视裸露、双层膜、说话口型、文字、标识、水印</x:v>
      </x:c>
      <x:c r="E5" s="16" t="str">
        <x:v>../../04_电视_墙面固定_完整膜返工/技术记录（不用看）/approved-candidates/电视完整膜基准.png</x:v>
      </x:c>
      <x:c r="F5" s="16" t="str">
        <x:v>8c9b3e0b2372ea58</x:v>
      </x:c>
    </x:row>
    <x:row r="6" ht="300" customHeight="1">
      <x:c r="A6" s="16" t="str">
        <x:v>v03-s01</x:v>
      </x:c>
      <x:c r="B6" s="16" t="str">
        <x:v>以已批准的工业风阁楼首帧为起点，保持75英寸电视、站立油漆工和整幅一体式防尘膜完全不变。镜头从黑色电视柜开始，缓慢向上抬升至黄色胶带；油漆工只在薄膜边界外做一次幅度很小的开放手掌展示动作。电视全程位于一整张连续透明膜后，膜面不得逐渐消失，胶带和薄膜端点始终对齐。禁止环绕运镜、破膜、双层膜、胶带悬空、额外胶带、电视裸露、人物遮挡、说话、文字和标识。</x:v>
      </x:c>
      <x:c r="C6" s="16" t="str">
        <x:v>生成一张9:16竖屏写实商业摄影首帧：工业风阁楼影音区内，一台75英寸超宽壁挂电视安装在平整白色墙板上。电视上方约15厘米处粘贴一条水平、笔直、长度有限的黄色美纹胶带；一整张宽幅透明PE膜与胶带下沿全长永久连接，左右端点严格对齐，薄膜覆盖整台电视并在左右留下清晰宽边，下沿轻微绷紧。专业欧美男油漆工站在画面最右侧，在薄膜边界之外做开放手掌展示动作，不接触、不遮挡电视。低机位广角构图，工业风黑色电视柜位于前景，无文字、标识或水印。</x:v>
      </x:c>
      <x:c r="D6" s="16" t="str">
        <x:v>环绕运镜、透明膜消失、破膜、胶带超出薄膜、人物遮挡电视、额外塑料层、电视裸露、文字、标识、水印</x:v>
      </x:c>
      <x:c r="E6" s="16" t="str">
        <x:v>../../04_电视_墙面固定_完整膜返工/技术记录（不用看）/approved-candidates/电视完整膜基准.png</x:v>
      </x:c>
      <x:c r="F6" s="16" t="str">
        <x:v>c8b6b4f452377c85</x:v>
      </x:c>
    </x:row>
    <x:row r="7" ht="300" customHeight="1">
      <x:c r="A7" s="16" t="str">
        <x:v>v04-s01</x:v>
      </x:c>
      <x:c r="B7" s="16" t="str">
        <x:v>以已批准的会议室首帧为起点，保持移动支架电视和整张墙面垂落薄膜的结构完全不变。镜头沿左前方向电视缓慢推进，产生轻微桌椅视差；远处施工人员只做低幅度整理工具动作，不靠近防护区域。透明膜全程从同一条黄色胶带连续垂至地面，电视、立柱和底座始终位于膜后。禁止脚轮移动、人物靠近、膜撕裂、额外胶带、屏幕裸露、文字和标识。</x:v>
      </x:c>
      <x:c r="C7" s="16" t="str">
        <x:v>生成一张9:16竖屏写实商业摄影首帧：现代企业会议室正在翻新，一台55英寸平板电视安装在带脚轮的黑色移动支架上，靠近浅灰墙面。电视后方墙面上粘贴一条比电视和支架更宽、长度有限且笔直的黄色美纹胶带；同宽透明PE膜永久连接在胶带整个下沿，作为一整张连续薄膜垂至地面，完整覆盖电视屏幕、边框、支架立柱和脚轮底座。两名施工人员位于远处背景，不接近或遮挡产品。左前方四分之三全身景，冷白会议室灯光，无破口、双层膜、额外胶带、文字、标识或水印。</x:v>
      </x:c>
      <x:c r="D7" s="16" t="str">
        <x:v>电视支架移动、人物靠近产品、膜未覆盖底座、破膜、双层膜、额外胶带、屏幕裸露、文字、标识、水印</x:v>
      </x:c>
      <x:c r="E7" s="16" t="str"/>
      <x:c r="F7" s="16" t="str">
        <x:v>c19ef482ca441899</x:v>
      </x:c>
    </x:row>
    <x:row r="8" ht="300" customHeight="1">
      <x:c r="A8" s="16" t="str">
        <x:v>v05-s01</x:v>
      </x:c>
      <x:c r="B8" s="16" t="str">
        <x:v>以已批准的公寓厨房首帧为起点，保持32英寸电视、餐边台和一体式胶带薄膜结构不变。镜头从黄色胶带开始缓慢向下移动至被覆盖的餐边台前沿；右后方油漆工只转动视线检查墙面，不靠近产品。薄膜必须始终连续覆盖电视和台面边缘，不得收缩、分叉或产生第二层。禁止手部接触、额外胶带、屏幕裸露、说话、文字和标识。</x:v>
      </x:c>
      <x:c r="C8" s="16" t="str">
        <x:v>生成一张9:16竖屏写实商业摄影首帧：明亮公寓厨房用餐区正在改造，一台32英寸小型超薄电视壁挂在白色墙面，下面是浅木色餐边台。电视上方约10厘米处粘贴一条长度有限、笔直的黄色美纹胶带；一整张同宽透明PE膜永久连接在胶带下沿，连续覆盖电视屏幕和边框，并向下延伸覆盖餐边台前沿。专业欧美女油漆工站在画面右后方检查远离产品的墙面，不接触薄膜。正面中近景，明亮日光，无开口、无第二片膜、无额外胶带、无裸露电视、无文字、标识或水印。</x:v>
      </x:c>
      <x:c r="D8" s="16" t="str">
        <x:v>大尺寸电视、油漆工触碰薄膜、餐边台裸露、薄膜收缩、第二层膜、额外胶带、屏幕裸露、文字、标识、水印</x:v>
      </x:c>
      <x:c r="E8" s="16" t="str"/>
      <x:c r="F8" s="16" t="str">
        <x:v>81e3b8a90c385099</x:v>
      </x:c>
    </x:row>
    <x:row r="9" ht="300" customHeight="1">
      <x:c r="A9" s="16" t="str">
        <x:v>v06-s01</x:v>
      </x:c>
      <x:c r="B9" s="16" t="str">
        <x:v>以已批准的董事会议室首帧为起点，保持85英寸大屏和超宽一体式透明膜完全不变。镜头沿房间中轴线非常缓慢地向前推进，会议桌边缘产生对称视差；画面无人进入。薄膜全程保持完整矩形边界，黄色胶带与膜上沿等宽连续，大屏及接口区域始终位于膜后。禁止屏幕点亮、薄膜消失、胶带变长、第二层膜、人物、文字和标识。</x:v>
      </x:c>
      <x:c r="C9" s="16" t="str">
        <x:v>生成一张9:16竖屏写实商业摄影首帧：高层写字楼的大型董事会议室正在翻新，一台85英寸超大显示电视居中壁挂在深灰色装饰墙上，桌椅已移到两侧。电视上方约18厘米处粘贴一条超宽但长度有限、笔直完整的黄色美纹胶带；一整张同宽透明PE膜永久连接在胶带下沿，连续覆盖整块大屏、所有边框和下方接口区域，左右边界垂直清晰。无人物，正面对称超广角全景，窗外城市日光柔和，无薄膜缺角、胶带超出、第二层膜、文字、标识或水印。</x:v>
      </x:c>
      <x:c r="D9" s="16" t="str">
        <x:v>屏幕点亮、薄膜消失、胶带超出薄膜、双层膜、人物进入、大屏裸露、接口裸露、文字、标识、水印</x:v>
      </x:c>
      <x:c r="E9" s="16" t="str"/>
      <x:c r="F9" s="16" t="str">
        <x:v>302b99bbb4073844</x:v>
      </x:c>
    </x:row>
    <x:row r="10" ht="300" customHeight="1">
      <x:c r="A10" s="16" t="str">
        <x:v>v07-s01</x:v>
      </x:c>
      <x:c r="B10" s="16" t="str">
        <x:v>以已批准的多媒体教室首帧为起点，保持台式电视、中央底座、讲台和整张透明膜结构不变。镜头从右前方向左后方缓慢侧移，课桌产生轻微视差；远端油漆工保持静止，只轻微调整握持滚筒的姿势。薄膜全程覆盖电视、底座和讲台台面，胶带和膜左右端点始终对齐。禁止人物走动、滚筒接触薄膜、底座裸露、第二层膜、额外胶带、文字和标识。</x:v>
      </x:c>
      <x:c r="C10" s="16" t="str">
        <x:v>生成一张9:16竖屏写实商业摄影首帧：学校多媒体教室正在粉刷，一台50英寸带中央底座的台式平板电视放在木质讲台上，靠近黑板旁的白墙。墙面上粘贴一条覆盖电视和讲台宽度的有限黄色美纹胶带；同宽透明PE膜永久连接在胶带下沿，作为一整张连续薄膜完整覆盖电视、中央底座和讲台台面。专业欧美油漆工站在远端手持滚筒并保持静止，不接近防护区。右前方环境中景，柔和教室日光，无薄膜开口、无额外胶带、无电视裸露、无文字、标识或水印。</x:v>
      </x:c>
      <x:c r="D10" s="16" t="str">
        <x:v>人物走动、滚筒触碰薄膜、中央底座裸露、讲台裸露、双层膜、额外胶带、文字、标识、水印</x:v>
      </x:c>
      <x:c r="E10" s="16" t="str"/>
      <x:c r="F10" s="16" t="str">
        <x:v>9c15598cfb500bba</x:v>
      </x:c>
    </x:row>
    <x:row r="11" ht="300" customHeight="1">
      <x:c r="A11" s="16" t="str">
        <x:v>v08-s01</x:v>
      </x:c>
      <x:c r="B11" s="16" t="str">
        <x:v>以已批准的复古公寓首帧为起点，保持显像管电视、木质矮柜和一体式防护膜结构不变。镜头以极慢速度向电视正面推进，透明膜只出现柔和反光，凸屏和厚机身始终完整位于同一张膜后。画面无人进入，工具保持静止。禁止电视变成平板、屏幕点亮、薄膜穿入机身、第二层膜、额外胶带、文字和标识。</x:v>
      </x:c>
      <x:c r="C11" s="16" t="str">
        <x:v>生成一张9:16竖屏写实商业摄影首帧：正在翻新的老式砖墙公寓客厅内，一台21英寸复古显像管电视放在深色木质矮柜上，机身厚重、屏幕微凸。电视上方砖墙粘贴一条长度有限、笔直完整的黄色美纹胶带；一整张同宽透明PE膜永久连接在胶带下沿，连续包覆显像管电视的顶部、凸屏、厚侧面和矮柜前沿。无人物，装修工具静置在远处，低机位近景，暖色窗光，无膜面开口、无重复薄膜、无额外胶带、无文字、标识或水印。</x:v>
      </x:c>
      <x:c r="D11" s="16" t="str">
        <x:v>电视变成平板、屏幕点亮、薄膜穿模、厚机身裸露、双层膜、额外胶带、人物、文字、标识、水印</x:v>
      </x:c>
      <x:c r="E11" s="16" t="str"/>
      <x:c r="F11" s="16" t="str">
        <x:v>8b75f65c54dcac7d</x:v>
      </x:c>
    </x:row>
    <x:row r="12" ht="300" customHeight="1">
      <x:c r="A12" s="16" t="str">
        <x:v>v09-s01</x:v>
      </x:c>
      <x:c r="B12" s="16" t="str">
        <x:v>以已批准的有顶露台首帧为起点，保持户外电视、油漆工和绷紧透明膜结构不变。镜头沿露台边缘从左向右平稳跟移，背景绿植产生轻微视差；膜面仅允许极小幅度自然颤动，下沿不得掀起，胶带与膜上沿必须持续连接。油漆工只检查远处墙角。禁止大风吹开薄膜、雨水、膜脱落、额外胶带、屏幕裸露、人物靠近、文字和标识。</x:v>
      </x:c>
      <x:c r="C12" s="16" t="str">
        <x:v>生成一张9:16竖屏写实商业摄影首帧：有顶露台休闲区正在重新涂装，一台48英寸户外防水电视壁挂在浅色外墙上，背景可见虚化绿植。电视上方约12厘米处粘贴一条有限长度、笔直完整的黄色美纹胶带；一整张同宽透明PE膜永久连接在胶带下沿，以轻微绷紧的抗风状态完整覆盖电视屏幕和边框，左右边界平直，下沿不飘起。专业欧美油漆工站在画面右侧检查远处墙角，不接触产品。左侧环境中远景，阴天柔光，无破膜、额外胶带、电视裸露、文字、标识或水印。</x:v>
      </x:c>
      <x:c r="D12" s="16" t="str">
        <x:v>强风掀膜、膜脱落、雨水、胶带松脱、额外胶带、人物靠近、屏幕裸露、文字、标识、水印</x:v>
      </x:c>
      <x:c r="E12" s="16" t="str"/>
      <x:c r="F12" s="16" t="str">
        <x:v>058501105e2b5b9a</x:v>
      </x:c>
    </x:row>
    <x:row r="13" ht="300" customHeight="1">
      <x:c r="A13" s="16" t="str">
        <x:v>v10-s01</x:v>
      </x:c>
      <x:c r="B13" s="16" t="str">
        <x:v>以已批准的整墙柜壁龛首帧为起点，保持嵌入式电视、壁龛、跪姿油漆工和完整透明膜结构不变。镜头从黄色胶带与壁龛上沿的连接细节开始，缓慢向后拉远，展示整墙柜范围；油漆工只做一次小幅开放手掌动作。透明膜全程完整封住壁龛开口，电视不得跑到膜前。禁止膜贴到电视屏幕、胶带悬空、壁龛开口裸露、第二层膜、额外胶带、说话、文字和标识。</x:v>
      </x:c>
      <x:c r="C13" s="16" t="str">
        <x:v>生成一张9:16竖屏写实商业摄影首帧：高端客厅的整墙柜区域正在翻新，一台55英寸平板电视嵌入木质壁龛。壁龛开口上沿的水平柜板粘贴一条长度与开口相同、笔直完整的黄色美纹胶带；一整张同宽透明PE膜永久连接在胶带下沿，像透明帘幕一样完整封住整个壁龛开口，电视和壁龛内侧全部位于膜后。专业欧美油漆工跪在画面右下方，在薄膜边界外做展示手势，不触碰产品。正面偏右宽幅中景，暖色室内光，无膜面缺角、胶带悬空、额外胶带、文字、标识或水印。</x:v>
      </x:c>
      <x:c r="D13" s="16" t="str">
        <x:v>膜贴在电视屏幕上、胶带悬空、壁龛裸露、电视跑到膜前、双层膜、额外胶带、人物触碰、文字、标识、水印</x:v>
      </x:c>
      <x:c r="E13" s="16" t="str"/>
      <x:c r="F13" s="16" t="str">
        <x:v>51e5b0d1d388fff7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0f6479f4c0c14f9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36" hidden="0" customWidth="1"/>
    <x:col min="4" max="4" width="60" hidden="0" customWidth="1"/>
  </x:cols>
  <x:sheetData>
    <x:row r="1" ht="32" customHeight="1">
      <x:c r="A1" s="3" t="str">
        <x:v>电视淘汰素材索引</x:v>
      </x:c>
      <x:c r="B1" s="3" t="str">
        <x:v>电视淘汰素材索引</x:v>
      </x:c>
      <x:c r="C1" s="3" t="str">
        <x:v>电视淘汰素材索引</x:v>
      </x:c>
      <x:c r="D1" s="3" t="str">
        <x:v>电视淘汰素材索引</x:v>
      </x:c>
    </x:row>
    <x:row r="3" ht="30" customHeight="1">
      <x:c r="A3" s="10" t="str">
        <x:v>来源批次</x:v>
      </x:c>
      <x:c r="B3" s="15" t="str">
        <x:v>案例/类型</x:v>
      </x:c>
      <x:c r="C3" s="15" t="str">
        <x:v>淘汰原因</x:v>
      </x:c>
      <x:c r="D3" s="11" t="str">
        <x:v>垃圾桶或证据路径</x:v>
      </x:c>
    </x:row>
    <x:row r="4">
      <x:c r="A4" s="16" t="str">
        <x:v>历史批次</x:v>
      </x:c>
      <x:c r="B4" s="16" t="str">
        <x:v>胶带误贴电视</x:v>
      </x:c>
      <x:c r="C4" s="16" t="str">
        <x:v>承载面错误</x:v>
      </x:c>
      <x:c r="D4" s="16" t="str">
        <x:v>99_垃圾桶（可回顾）/历史场景/01_电视_错误示例_胶带贴电视</x:v>
      </x:c>
    </x:row>
    <x:row r="5">
      <x:c r="A5" s="16" t="str">
        <x:v>历史批次</x:v>
      </x:c>
      <x:c r="B5" s="16" t="str">
        <x:v>墙面固定旧批次</x:v>
      </x:c>
      <x:c r="C5" s="16" t="str">
        <x:v>膜未完整覆盖、边界不连贯</x:v>
      </x:c>
      <x:c r="D5" s="16" t="str">
        <x:v>99_垃圾桶（可回顾）/历史场景/02_电视_墙面固定</x:v>
      </x:c>
    </x:row>
    <x:row r="6">
      <x:c r="A6" s="16" t="str">
        <x:v>完整膜返工案例02</x:v>
      </x:c>
      <x:c r="B6" s="16" t="str">
        <x:v>同构随机性测试</x:v>
      </x:c>
      <x:c r="C6" s="16" t="str">
        <x:v>贯穿全高的双层膜片歧义</x:v>
      </x:c>
      <x:c r="D6" s="16" t="str">
        <x:v>04_电视_墙面固定_完整膜返工/技术记录（不用看）/video-review.json</x:v>
      </x:c>
    </x:row>
    <x:row r="7">
      <x:c r="A7" s="16" t="str">
        <x:v>差异化批次案例03</x:v>
      </x:c>
      <x:c r="B7" s="16" t="str">
        <x:v>工业风电视展示</x:v>
      </x:c>
      <x:c r="C7" s="16" t="str">
        <x:v>约5秒后透明膜逐渐消失，电视重新裸露</x:v>
      </x:c>
      <x:c r="D7" s="16" t="str">
        <x:v>06_电视_差异化场景/技术记录（不用看）/video-review.json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70386a8d0c974529"/>
  </x:tableParts>
</x:worksheet>
</file>