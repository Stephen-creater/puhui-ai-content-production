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e85784c91194aae" /></Relationships>
</file>

<file path=xl/workbook.xml><?xml version="1.0" encoding="utf-8"?>
<x:workbook xmlns:x="http://schemas.openxmlformats.org/spreadsheetml/2006/main">
  <x:sheets>
    <x:sheet xmlns:r="http://schemas.openxmlformats.org/officeDocument/2006/relationships" name="策略总览" sheetId="1" r:id="R03a65eeacd3a40dc"/>
    <x:sheet xmlns:r="http://schemas.openxmlformats.org/officeDocument/2006/relationships" name="场景矩阵" sheetId="2" r:id="Rf6cb7b1d92564748"/>
    <x:sheet xmlns:r="http://schemas.openxmlformats.org/officeDocument/2006/relationships" name="提示词档案" sheetId="3" r:id="R91161ea131c74ad0"/>
    <x:sheet xmlns:r="http://schemas.openxmlformats.org/officeDocument/2006/relationships" name="淘汰记录" sheetId="4" r:id="R95634e7e9c0e408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
    <x:numFmt numFmtId="201" formatCode="¥0.00"/>
  </x:numFmts>
  <x:fonts count="3">
    <x:font>
      <x:sz val="11"/>
      <x:name val="Carlito"/>
    </x:font>
    <x:font>
      <x:b/>
      <x:sz val="16"/>
      <x:color rgb="FFFFFFFF"/>
      <x:name val="Carlito"/>
    </x:font>
    <x:font>
      <x:b/>
      <x:sz val="11"/>
      <x:color rgb="FFFFFFFF"/>
      <x:name val="Carlito"/>
    </x:font>
  </x:fonts>
  <x:fills count="4">
    <x:fill>
      <x:patternFill patternType="none"/>
    </x:fill>
    <x:fill>
      <x:patternFill patternType="gray125"/>
    </x:fill>
    <x:fill>
      <x:patternFill patternType="solid">
        <x:fgColor rgb="FF17324D"/>
      </x:patternFill>
    </x:fill>
    <x:fill>
      <x:patternFill patternType="solid">
        <x:fgColor rgb="FF2F5D7C"/>
      </x:patternFill>
    </x:fill>
  </x:fills>
  <x:borders count="4">
    <x:border/>
    <x:border>
      <x:left style="thin">
        <x:color rgb="FFB7C9D6"/>
      </x:left>
      <x:top style="thin">
        <x:color rgb="FFB7C9D6"/>
      </x:top>
      <x:bottom style="thin">
        <x:color rgb="FFB7C9D6"/>
      </x:bottom>
    </x:border>
    <x:border>
      <x:right style="thin">
        <x:color rgb="FFB7C9D6"/>
      </x:right>
      <x:top style="thin">
        <x:color rgb="FFB7C9D6"/>
      </x:top>
      <x:bottom style="thin">
        <x:color rgb="FFB7C9D6"/>
      </x:bottom>
    </x:border>
    <x:border>
      <x:top style="thin">
        <x:color rgb="FFB7C9D6"/>
      </x:top>
      <x:bottom style="thin">
        <x:color rgb="FFB7C9D6"/>
      </x:bottom>
    </x:border>
  </x:borders>
  <x:cellStyleXfs count="1">
    <x:xf numFmtId="0" fontId="0" fillId="0" borderId="0"/>
  </x:cellStyleXfs>
  <x:cellXfs count="2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2" xfId="0" applyNumberFormat="1" applyFont="1" applyFill="1" applyBorder="1"/>
    <x:xf numFmtId="0" fontId="2" fillId="3" borderId="1"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1" xfId="0" applyNumberFormat="1" applyFont="1" applyFill="1" applyBorder="1" applyAlignment="1">
      <x:alignment vertical="center" wrapText="1"/>
    </x:xf>
    <x:xf numFmtId="0" fontId="2" fillId="3" borderId="2" xfId="0" applyNumberFormat="1" applyFont="1" applyFill="1" applyBorder="1" applyAlignment="1">
      <x:alignment vertical="center" wrapText="1"/>
    </x:xf>
    <x:xf numFmtId="200" fontId="0" fillId="0" borderId="0" xfId="0" applyNumberFormat="1" applyFont="1" applyFill="1" applyBorder="1"/>
    <x:xf numFmtId="0" fontId="2" fillId="3" borderId="3" xfId="0" applyNumberFormat="1" applyFont="1" applyFill="1" applyBorder="1"/>
    <x:xf numFmtId="0" fontId="2" fillId="3" borderId="3" xfId="0" applyNumberFormat="1" applyFont="1" applyFill="1" applyBorder="1" applyAlignment="1">
      <x:alignment wrapText="1"/>
    </x:xf>
    <x:xf numFmtId="0" fontId="2" fillId="3" borderId="3"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wrapText="1"/>
    </x:xf>
  </x:cellXfs>
  <x:cellStyles count="1">
    <x:cellStyle name="Normal" xfId="0"/>
  </x:cellStyles>
  <x:dxfs count="3">
    <x:dxf>
      <x:font>
        <x:b/>
        <x:color rgb="FF274E13"/>
      </x:font>
      <x:fill>
        <x:patternFill patternType="solid">
          <x:bgColor rgb="FFD9EAD3"/>
        </x:patternFill>
      </x:fill>
    </x:dxf>
    <x:dxf>
      <x:font>
        <x:b/>
        <x:color rgb="FF990000"/>
      </x:font>
      <x:fill>
        <x:patternFill patternType="solid">
          <x:bgColor rgb="FFF4CCCC"/>
        </x:patternFill>
      </x:fill>
    </x:dxf>
    <x:dxf>
      <x:font>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953a06b744d402b" /><Relationship Type="http://schemas.openxmlformats.org/officeDocument/2006/relationships/theme" Target="/xl/theme/theme1.xml" Id="R007add4c50a74197" /><Relationship Type="http://schemas.openxmlformats.org/officeDocument/2006/relationships/sharedStrings" Target="/xl/sharedStrings.xml" Id="Rd98adb39589d481f" /><Relationship Type="http://schemas.openxmlformats.org/officeDocument/2006/relationships/worksheet" Target="/xl/worksheets/sheet1.xml" Id="R03a65eeacd3a40dc" /><Relationship Type="http://schemas.openxmlformats.org/officeDocument/2006/relationships/worksheet" Target="/xl/worksheets/sheet2.xml" Id="Rf6cb7b1d92564748" /><Relationship Type="http://schemas.openxmlformats.org/officeDocument/2006/relationships/worksheet" Target="/xl/worksheets/sheet3.xml" Id="R91161ea131c74ad0" /><Relationship Type="http://schemas.openxmlformats.org/officeDocument/2006/relationships/worksheet" Target="/xl/worksheets/sheet4.xml" Id="R95634e7e9c0e4086" /></Relationships>
</file>

<file path=xl/tables/table1.xml><?xml version="1.0" encoding="utf-8"?>
<x:table xmlns:x="http://schemas.openxmlformats.org/spreadsheetml/2006/main" id="1" name="TVSceneMatrix" displayName="TVSceneMatrix" ref="A3:T6" headerRowCount="1" totalsRowCount="0" totalsRowShown="0">
  <x:tableColumns count="20">
    <x:tableColumn id="1" name="案例ID"/>
    <x:tableColumn id="2" name="案例名称"/>
    <x:tableColumn id="3" name="唯一组合指纹"/>
    <x:tableColumn id="4" name="物体种类"/>
    <x:tableColumn id="5" name="物体形态"/>
    <x:tableColumn id="6" name="环境场景"/>
    <x:tableColumn id="7" name="覆盖状态"/>
    <x:tableColumn id="8" name="镜头景别"/>
    <x:tableColumn id="9" name="镜头运动"/>
    <x:tableColumn id="10" name="人物/施工状态"/>
    <x:tableColumn id="11" name="首帧状态"/>
    <x:tableColumn id="12" name="视频状态"/>
    <x:tableColumn id="13" name="图片哈希"/>
    <x:tableColumn id="14" name="视频哈希"/>
    <x:tableColumn id="15" name="图片模型"/>
    <x:tableColumn id="16" name="视频模型"/>
    <x:tableColumn id="17" name="预计视频费用（元）"/>
    <x:tableColumn id="18" name="生成秒数"/>
    <x:tableColumn id="19" name="任务状态"/>
    <x:tableColumn id="20" name="项目相对路径"/>
  </x:tableColumns>
  <x:tableStyleInfo name="TableStyleMedium2" showFirstColumn="0" showLastColumn="0" showRowStripes="1" showColumnStripes="0"/>
</x:table>
</file>

<file path=xl/tables/table2.xml><?xml version="1.0" encoding="utf-8"?>
<x:table xmlns:x="http://schemas.openxmlformats.org/spreadsheetml/2006/main" id="2" name="TVPromptArchive" displayName="TVPromptArchive" ref="A3:G6" headerRowCount="1" totalsRowCount="0" totalsRowShown="0">
  <x:tableColumns count="7">
    <x:tableColumn id="1" name="案例ID"/>
    <x:tableColumn id="2" name="首帧提示词"/>
    <x:tableColumn id="3" name="视频提示词"/>
    <x:tableColumn id="4" name="负面提示词"/>
    <x:tableColumn id="5" name="参考图片"/>
    <x:tableColumn id="6" name="首帧提示词哈希"/>
    <x:tableColumn id="7" name="视频提示词哈希"/>
  </x:tableColumns>
  <x:tableStyleInfo name="TableStyleMedium2" showFirstColumn="0" showLastColumn="0" showRowStripes="1" showColumnStripes="0"/>
</x:table>
</file>

<file path=xl/tables/table3.xml><?xml version="1.0" encoding="utf-8"?>
<x:table xmlns:x="http://schemas.openxmlformats.org/spreadsheetml/2006/main" id="3" name="TVRejects" displayName="TVRejects" ref="A3:D7" headerRowCount="1" totalsRowCount="0" totalsRowShown="0">
  <x:tableColumns count="4">
    <x:tableColumn id="1" name="来源批次"/>
    <x:tableColumn id="2" name="案例/类型"/>
    <x:tableColumn id="3" name="淘汰原因"/>
    <x:tableColumn id="4" name="垃圾桶或证据路径"/>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cd4fd9f247a44b7" /></Relationships>
</file>

<file path=xl/worksheets/_rels/sheet3.xml.rels>&#65279;<?xml version="1.0" encoding="utf-8"?><Relationships xmlns="http://schemas.openxmlformats.org/package/2006/relationships"><Relationship Type="http://schemas.openxmlformats.org/officeDocument/2006/relationships/table" Target="/xl/tables/table2.xml" Id="R80fa75427d06448c" /></Relationships>
</file>

<file path=xl/worksheets/_rels/sheet4.xml.rels>&#65279;<?xml version="1.0" encoding="utf-8"?><Relationships xmlns="http://schemas.openxmlformats.org/package/2006/relationships"><Relationship Type="http://schemas.openxmlformats.org/officeDocument/2006/relationships/table" Target="/xl/tables/table3.xml" Id="Rf4748318de2d4dc9"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20" hidden="0" customWidth="1"/>
    <x:col min="4" max="4" width="20" hidden="0" customWidth="1"/>
    <x:col min="5" max="5" width="20" hidden="0" customWidth="1"/>
    <x:col min="6" max="6" width="20" hidden="0" customWidth="1"/>
  </x:cols>
  <x:sheetData>
    <x:row r="1" ht="32" customHeight="1">
      <x:c r="A1" s="3" t="str">
        <x:v>电视 AI 视频素材策略台账</x:v>
      </x:c>
      <x:c r="B1" s="3" t="str">
        <x:v>电视 AI 视频素材策略台账</x:v>
      </x:c>
      <x:c r="C1" s="3" t="str">
        <x:v>电视 AI 视频素材策略台账</x:v>
      </x:c>
      <x:c r="D1" s="3" t="str">
        <x:v>电视 AI 视频素材策略台账</x:v>
      </x:c>
      <x:c r="E1" s="3" t="str">
        <x:v>电视 AI 视频素材策略台账</x:v>
      </x:c>
      <x:c r="F1" s="3" t="str">
        <x:v>电视 AI 视频素材策略台账</x:v>
      </x:c>
    </x:row>
    <x:row r="2">
      <x:c r="A2" s="17"/>
      <x:c r="B2" s="17"/>
      <x:c r="C2" s="17"/>
      <x:c r="D2" s="17"/>
      <x:c r="E2" s="17"/>
      <x:c r="F2" s="17"/>
    </x:row>
    <x:row r="3" ht="30" customHeight="1">
      <x:c r="A3" s="10" t="str">
        <x:v>指标</x:v>
      </x:c>
      <x:c r="B3" s="11" t="str">
        <x:v>当前值</x:v>
      </x:c>
      <x:c r="C3" s="17"/>
      <x:c r="D3" s="17"/>
      <x:c r="E3" s="17"/>
      <x:c r="F3" s="17"/>
    </x:row>
    <x:row r="4">
      <x:c r="A4" s="17" t="str">
        <x:v>差异化案例数</x:v>
      </x:c>
      <x:c r="B4" s="17" t="n">
        <x:f>COUNTA('场景矩阵'!$A$4:$A$100)</x:f>
        <x:v>3</x:v>
      </x:c>
      <x:c r="C4" s="17"/>
      <x:c r="D4" s="17"/>
      <x:c r="E4" s="17"/>
      <x:c r="F4" s="17"/>
    </x:row>
    <x:row r="5">
      <x:c r="A5" s="17" t="str">
        <x:v>唯一七维组合数</x:v>
      </x:c>
      <x:c r="B5" s="17" t="n">
        <x:f>COUNTA('场景矩阵'!$C$4:$C$100)</x:f>
        <x:v>3</x:v>
      </x:c>
      <x:c r="C5" s="17"/>
      <x:c r="D5" s="17"/>
      <x:c r="E5" s="17"/>
      <x:c r="F5" s="17"/>
    </x:row>
    <x:row r="6">
      <x:c r="A6" s="17" t="str">
        <x:v>首帧通过数</x:v>
      </x:c>
      <x:c r="B6" s="17" t="n">
        <x:f>COUNTIF('场景矩阵'!$K$4:$K$100,"通过")</x:f>
        <x:v>3</x:v>
      </x:c>
      <x:c r="C6" s="17"/>
      <x:c r="D6" s="17"/>
      <x:c r="E6" s="17"/>
      <x:c r="F6" s="17"/>
    </x:row>
    <x:row r="7">
      <x:c r="A7" s="17" t="str">
        <x:v>视频通过数</x:v>
      </x:c>
      <x:c r="B7" s="17" t="n">
        <x:f>COUNTIF('场景矩阵'!$L$4:$L$100,"通过")</x:f>
        <x:v>2</x:v>
      </x:c>
      <x:c r="C7" s="17"/>
      <x:c r="D7" s="17"/>
      <x:c r="E7" s="17"/>
      <x:c r="F7" s="17"/>
    </x:row>
    <x:row r="8">
      <x:c r="A8" s="17" t="str">
        <x:v>预计视频费用（元）</x:v>
      </x:c>
      <x:c r="B8" s="18" t="n">
        <x:f>ROUND(SUM('场景矩阵'!$Q$4:$Q$100),2)</x:f>
        <x:v>1.8</x:v>
      </x:c>
      <x:c r="C8" s="17"/>
      <x:c r="D8" s="17"/>
      <x:c r="E8" s="17"/>
      <x:c r="F8" s="17"/>
    </x:row>
    <x:row r="9">
      <x:c r="A9" s="17"/>
      <x:c r="B9" s="17"/>
      <x:c r="C9" s="17"/>
      <x:c r="D9" s="17"/>
      <x:c r="E9" s="17"/>
      <x:c r="F9" s="17"/>
    </x:row>
    <x:row r="10" ht="30" customHeight="1">
      <x:c r="A10" s="10" t="str">
        <x:v>使用说明</x:v>
      </x:c>
      <x:c r="B10" s="15"/>
      <x:c r="C10" s="15"/>
      <x:c r="D10" s="15"/>
      <x:c r="E10" s="15"/>
      <x:c r="F10" s="11"/>
    </x:row>
    <x:row r="11">
      <x:c r="A11" s="19" t="str">
        <x:v>机器执行源</x:v>
      </x:c>
      <x:c r="B11" s="19" t="str">
        <x:v>技术记录（不用看）/project.json</x:v>
      </x:c>
      <x:c r="C11" s="19"/>
      <x:c r="D11" s="19"/>
      <x:c r="E11" s="19"/>
      <x:c r="F11" s="19"/>
    </x:row>
    <x:row r="12">
      <x:c r="A12" s="19" t="str">
        <x:v>台账定位</x:v>
      </x:c>
      <x:c r="B12" s="19" t="str">
        <x:v>用于筛选策略、查看提示词、追踪验收与复盘淘汰素材</x:v>
      </x:c>
      <x:c r="C12" s="19"/>
      <x:c r="D12" s="19"/>
      <x:c r="E12" s="19"/>
      <x:c r="F12" s="19"/>
    </x:row>
    <x:row r="13">
      <x:c r="A13" s="19" t="str">
        <x:v>同步规则</x:v>
      </x:c>
      <x:c r="B13" s="19" t="str">
        <x:v>提示词或状态变化后重新运行台账生成器，不在 Excel 内反向修改 JSON</x:v>
      </x:c>
      <x:c r="C13" s="19"/>
      <x:c r="D13" s="19"/>
      <x:c r="E13" s="19"/>
      <x:c r="F13" s="19"/>
    </x:row>
  </x:sheetData>
  <x:mergeCells>
    <x:mergeCell ref="A1:F1"/>
    <x:mergeCell ref="A10:F10"/>
    <x:mergeCell ref="B11:F11"/>
    <x:mergeCell ref="B12:F12"/>
    <x:mergeCell ref="B13:F1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 min="4" max="4" width="16"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16" hidden="0" customWidth="1"/>
    <x:col min="12" max="12" width="16" hidden="0" customWidth="1"/>
    <x:col min="13" max="13" width="18" hidden="0" customWidth="1"/>
    <x:col min="14" max="14" width="18" hidden="0" customWidth="1"/>
    <x:col min="15" max="15" width="16" hidden="0" customWidth="1"/>
    <x:col min="16" max="16" width="16" hidden="0" customWidth="1"/>
    <x:col min="17" max="17" width="16" hidden="0" customWidth="1"/>
    <x:col min="18" max="18" width="16" hidden="0" customWidth="1"/>
    <x:col min="19" max="19" width="16" hidden="0" customWidth="1"/>
    <x:col min="20" max="20" width="34" hidden="0" customWidth="1"/>
  </x:cols>
  <x:sheetData>
    <x:row r="1" ht="32" customHeight="1">
      <x:c r="A1" s="3" t="str">
        <x:v>电视场景矩阵｜七维组合与生产状态</x:v>
      </x:c>
      <x:c r="B1" s="3" t="str">
        <x:v>电视场景矩阵｜七维组合与生产状态</x:v>
      </x:c>
      <x:c r="C1" s="3" t="str">
        <x:v>电视场景矩阵｜七维组合与生产状态</x:v>
      </x:c>
      <x:c r="D1" s="3" t="str">
        <x:v>电视场景矩阵｜七维组合与生产状态</x:v>
      </x:c>
      <x:c r="E1" s="3" t="str">
        <x:v>电视场景矩阵｜七维组合与生产状态</x:v>
      </x:c>
      <x:c r="F1" s="3" t="str">
        <x:v>电视场景矩阵｜七维组合与生产状态</x:v>
      </x:c>
      <x:c r="G1" s="3" t="str">
        <x:v>电视场景矩阵｜七维组合与生产状态</x:v>
      </x:c>
      <x:c r="H1" s="3" t="str">
        <x:v>电视场景矩阵｜七维组合与生产状态</x:v>
      </x:c>
      <x:c r="I1" s="3" t="str">
        <x:v>电视场景矩阵｜七维组合与生产状态</x:v>
      </x:c>
      <x:c r="J1" s="3" t="str">
        <x:v>电视场景矩阵｜七维组合与生产状态</x:v>
      </x:c>
      <x:c r="K1" s="3" t="str">
        <x:v>电视场景矩阵｜七维组合与生产状态</x:v>
      </x:c>
      <x:c r="L1" s="3" t="str">
        <x:v>电视场景矩阵｜七维组合与生产状态</x:v>
      </x:c>
      <x:c r="M1" s="3" t="str">
        <x:v>电视场景矩阵｜七维组合与生产状态</x:v>
      </x:c>
      <x:c r="N1" s="3" t="str">
        <x:v>电视场景矩阵｜七维组合与生产状态</x:v>
      </x:c>
      <x:c r="O1" s="3" t="str">
        <x:v>电视场景矩阵｜七维组合与生产状态</x:v>
      </x:c>
      <x:c r="P1" s="3" t="str">
        <x:v>电视场景矩阵｜七维组合与生产状态</x:v>
      </x:c>
      <x:c r="Q1" s="3" t="str">
        <x:v>电视场景矩阵｜七维组合与生产状态</x:v>
      </x:c>
      <x:c r="R1" s="3" t="str">
        <x:v>电视场景矩阵｜七维组合与生产状态</x:v>
      </x:c>
      <x:c r="S1" s="3" t="str">
        <x:v>电视场景矩阵｜七维组合与生产状态</x:v>
      </x:c>
      <x:c r="T1" s="3" t="str">
        <x:v>电视场景矩阵｜七维组合与生产状态</x:v>
      </x:c>
    </x:row>
    <x:row r="3" ht="30" customHeight="1">
      <x:c r="A3" s="10" t="str">
        <x:v>案例ID</x:v>
      </x:c>
      <x:c r="B3" s="15" t="str">
        <x:v>案例名称</x:v>
      </x:c>
      <x:c r="C3" s="15" t="str">
        <x:v>唯一组合指纹</x:v>
      </x:c>
      <x:c r="D3" s="15" t="str">
        <x:v>物体种类</x:v>
      </x:c>
      <x:c r="E3" s="15" t="str">
        <x:v>物体形态</x:v>
      </x:c>
      <x:c r="F3" s="15" t="str">
        <x:v>环境场景</x:v>
      </x:c>
      <x:c r="G3" s="15" t="str">
        <x:v>覆盖状态</x:v>
      </x:c>
      <x:c r="H3" s="15" t="str">
        <x:v>镜头景别</x:v>
      </x:c>
      <x:c r="I3" s="15" t="str">
        <x:v>镜头运动</x:v>
      </x:c>
      <x:c r="J3" s="15" t="str">
        <x:v>人物/施工状态</x:v>
      </x:c>
      <x:c r="K3" s="15" t="str">
        <x:v>首帧状态</x:v>
      </x:c>
      <x:c r="L3" s="15" t="str">
        <x:v>视频状态</x:v>
      </x:c>
      <x:c r="M3" s="15" t="str">
        <x:v>图片哈希</x:v>
      </x:c>
      <x:c r="N3" s="15" t="str">
        <x:v>视频哈希</x:v>
      </x:c>
      <x:c r="O3" s="15" t="str">
        <x:v>图片模型</x:v>
      </x:c>
      <x:c r="P3" s="15" t="str">
        <x:v>视频模型</x:v>
      </x:c>
      <x:c r="Q3" s="15" t="str">
        <x:v>预计视频费用（元）</x:v>
      </x:c>
      <x:c r="R3" s="15" t="str">
        <x:v>生成秒数</x:v>
      </x:c>
      <x:c r="S3" s="15" t="str">
        <x:v>任务状态</x:v>
      </x:c>
      <x:c r="T3" s="11" t="str">
        <x:v>项目相对路径</x:v>
      </x:c>
    </x:row>
    <x:row r="4">
      <x:c r="A4" s="16" t="str">
        <x:v>v01-s01</x:v>
      </x:c>
      <x:c r="B4" s="16" t="str">
        <x:v>电视案例01</x:v>
      </x:c>
      <x:c r="C4" s="16" t="str">
        <x:v>25a85bb6a5e1</x:v>
      </x:c>
      <x:c r="D4" s="16" t="str">
        <x:v>television</x:v>
      </x:c>
      <x:c r="E4" s="16" t="str">
        <x:v>65-inch ultra-thin wall-mounted flat panel</x:v>
      </x:c>
      <x:c r="F4" s="16" t="str">
        <x:v>bright Scandinavian living room under repainting</x:v>
      </x:c>
      <x:c r="G4" s="16" t="str">
        <x:v>fully covered by a taut rectangular clear film curtain</x:v>
      </x:c>
      <x:c r="H4" s="16" t="str">
        <x:v>wide full-wall shot</x:v>
      </x:c>
      <x:c r="I4" s="16" t="str">
        <x:v>slow left-to-right lateral slider</x:v>
      </x:c>
      <x:c r="J4" s="16" t="str">
        <x:v>no person; completed protection state</x:v>
      </x:c>
      <x:c r="K4" s="16" t="str">
        <x:v>通过</x:v>
      </x:c>
      <x:c r="L4" s="16" t="str">
        <x:v>通过</x:v>
      </x:c>
      <x:c r="M4" s="16" t="str">
        <x:v>5a1fe65799bc295023a3214271fca0dc2e937204ba29e1fb377d2f1808602caf</x:v>
      </x:c>
      <x:c r="N4" s="16" t="str">
        <x:v>e1cbb570af138da14ef24c8185c9ded84e2c9005570140ac3b2f8a9d6961889b</x:v>
      </x:c>
      <x:c r="O4" s="16" t="str">
        <x:v>seedream-5.0-lite</x:v>
      </x:c>
      <x:c r="P4" s="16" t="str">
        <x:v>grok-imagine-video-1.5-fast</x:v>
      </x:c>
      <x:c r="Q4" s="20" t="n">
        <x:v>0.6</x:v>
      </x:c>
      <x:c r="R4" s="16" t="n">
        <x:v>10</x:v>
      </x:c>
      <x:c r="S4" s="16" t="str">
        <x:v>completed</x:v>
      </x:c>
      <x:c r="T4" s="16" t="str">
        <x:v>03_视频项目/防尘膜短视频/08_场景单元/06_电视_差异化场景/技术记录（不用看）</x:v>
      </x:c>
    </x:row>
    <x:row r="5">
      <x:c r="A5" s="16" t="str">
        <x:v>v02-s01</x:v>
      </x:c>
      <x:c r="B5" s="16" t="str">
        <x:v>电视案例02</x:v>
      </x:c>
      <x:c r="C5" s="16" t="str">
        <x:v>09c0a89c716c</x:v>
      </x:c>
      <x:c r="D5" s="16" t="str">
        <x:v>television</x:v>
      </x:c>
      <x:c r="E5" s="16" t="str">
        <x:v>43-inch compact wall-mounted flat panel</x:v>
      </x:c>
      <x:c r="F5" s="16" t="str">
        <x:v>warm boutique-hotel bedroom renovation</x:v>
      </x:c>
      <x:c r="G5" s="16" t="str">
        <x:v>fully covered with softly draped side and lower margins</x:v>
      </x:c>
      <x:c r="H5" s="16" t="str">
        <x:v>three-quarter medium shot from the right</x:v>
      </x:c>
      <x:c r="I5" s="16" t="str">
        <x:v>slow rightward dolly with restrained parallax</x:v>
      </x:c>
      <x:c r="J5" s="16" t="str">
        <x:v>professional painter kneeling at frame left and visually inspecting without touching</x:v>
      </x:c>
      <x:c r="K5" s="16" t="str">
        <x:v>通过</x:v>
      </x:c>
      <x:c r="L5" s="16" t="str">
        <x:v>通过</x:v>
      </x:c>
      <x:c r="M5" s="16" t="str">
        <x:v>0303b24d530d619f3aed59ac14065486768a84e9a52c98a21a4b053bd4db78bc</x:v>
      </x:c>
      <x:c r="N5" s="16" t="str">
        <x:v>c3db73e0a1871d0c6ec6e6918d7d6b3fef82e941b093320cfe58808bea9c58b7</x:v>
      </x:c>
      <x:c r="O5" s="16" t="str">
        <x:v>seedream-5.0-lite</x:v>
      </x:c>
      <x:c r="P5" s="16" t="str">
        <x:v>grok-imagine-video-1.5-fast</x:v>
      </x:c>
      <x:c r="Q5" s="20" t="n">
        <x:v>0.6</x:v>
      </x:c>
      <x:c r="R5" s="16" t="n">
        <x:v>10</x:v>
      </x:c>
      <x:c r="S5" s="16" t="str">
        <x:v>completed</x:v>
      </x:c>
      <x:c r="T5" s="16" t="str">
        <x:v>03_视频项目/防尘膜短视频/08_场景单元/06_电视_差异化场景/技术记录（不用看）</x:v>
      </x:c>
    </x:row>
    <x:row r="6">
      <x:c r="A6" s="16" t="str">
        <x:v>v03-s01</x:v>
      </x:c>
      <x:c r="B6" s="16" t="str">
        <x:v>电视案例03</x:v>
      </x:c>
      <x:c r="C6" s="16" t="str">
        <x:v>b3b654812d2d</x:v>
      </x:c>
      <x:c r="D6" s="16" t="str">
        <x:v>television</x:v>
      </x:c>
      <x:c r="E6" s="16" t="str">
        <x:v>75-inch wide wall-mounted flat panel</x:v>
      </x:c>
      <x:c r="F6" s="16" t="str">
        <x:v>industrial loft media room with smooth white mounting panel</x:v>
      </x:c>
      <x:c r="G6" s="16" t="str">
        <x:v>fully covered with broad transparent margins and lightly tensioned lower edge</x:v>
      </x:c>
      <x:c r="H6" s="16" t="str">
        <x:v>low-angle wide shot</x:v>
      </x:c>
      <x:c r="I6" s="16" t="str">
        <x:v>gentle upward tilt from console to tape line</x:v>
      </x:c>
      <x:c r="J6" s="16" t="str">
        <x:v>standing painter at far right pointing beside the protected area</x:v>
      </x:c>
      <x:c r="K6" s="16" t="str">
        <x:v>通过</x:v>
      </x:c>
      <x:c r="L6" s="16" t="str">
        <x:v>淘汰</x:v>
      </x:c>
      <x:c r="M6" s="16" t="str">
        <x:v>9fbc6f466b567258e7d6339a36bc6db7522e8b1c60a3d3e55c006dd0606b9060</x:v>
      </x:c>
      <x:c r="N6" s="16" t="str">
        <x:v>93ae4e3521b49c08de0e3073cdcfb5313fe8e52aabcf823bb6722e7fcd8bb870</x:v>
      </x:c>
      <x:c r="O6" s="16" t="str">
        <x:v>seedream-5.0-lite</x:v>
      </x:c>
      <x:c r="P6" s="16" t="str">
        <x:v>grok-imagine-video-1.5-fast</x:v>
      </x:c>
      <x:c r="Q6" s="20" t="n">
        <x:v>0.6</x:v>
      </x:c>
      <x:c r="R6" s="16" t="n">
        <x:v>10</x:v>
      </x:c>
      <x:c r="S6" s="16" t="str">
        <x:v>completed</x:v>
      </x:c>
      <x:c r="T6" s="16" t="str">
        <x:v>03_视频项目/防尘膜短视频/08_场景单元/06_电视_差异化场景/技术记录（不用看）</x:v>
      </x:c>
    </x:row>
  </x:sheetData>
  <x:mergeCells>
    <x:mergeCell ref="A1:T1"/>
  </x:mergeCells>
  <x:conditionalFormatting sqref="K4:L6">
    <x:cfRule type="containsText" dxfId="0" priority="1" operator="containsText" text="通过"/>
    <x:cfRule type="containsText" dxfId="1" priority="2" operator="containsText" text="淘汰"/>
    <x:cfRule type="containsText" dxfId="2" priority="3" operator="containsText" text="待"/>
  </x:conditionalFormatting>
  <x:pageMargins left="0.7" right="0.7" top="0.75" bottom="0.75" header="0.3" footer="0.3"/>
  <x:tableParts count="1">
    <x:tablePart xmlns:r="http://schemas.openxmlformats.org/officeDocument/2006/relationships" r:id="R2cd4fd9f247a44b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58" hidden="0" customWidth="1"/>
    <x:col min="3" max="3" width="58" hidden="0" customWidth="1"/>
    <x:col min="4" max="4" width="30" hidden="0" customWidth="1"/>
    <x:col min="5" max="5" width="30" hidden="0" customWidth="1"/>
    <x:col min="6" max="6" width="20" hidden="0" customWidth="1"/>
    <x:col min="7" max="7" width="20" hidden="0" customWidth="1"/>
  </x:cols>
  <x:sheetData>
    <x:row r="1" ht="32" customHeight="1">
      <x:c r="A1" s="3" t="str">
        <x:v>电视提示词档案｜一条提示词对应一条视频</x:v>
      </x:c>
      <x:c r="B1" s="3" t="str">
        <x:v>电视提示词档案｜一条提示词对应一条视频</x:v>
      </x:c>
      <x:c r="C1" s="3" t="str">
        <x:v>电视提示词档案｜一条提示词对应一条视频</x:v>
      </x:c>
      <x:c r="D1" s="3" t="str">
        <x:v>电视提示词档案｜一条提示词对应一条视频</x:v>
      </x:c>
      <x:c r="E1" s="3" t="str">
        <x:v>电视提示词档案｜一条提示词对应一条视频</x:v>
      </x:c>
      <x:c r="F1" s="3" t="str">
        <x:v>电视提示词档案｜一条提示词对应一条视频</x:v>
      </x:c>
      <x:c r="G1" s="3" t="str">
        <x:v>电视提示词档案｜一条提示词对应一条视频</x:v>
      </x:c>
    </x:row>
    <x:row r="3" ht="30" customHeight="1">
      <x:c r="A3" s="10" t="str">
        <x:v>案例ID</x:v>
      </x:c>
      <x:c r="B3" s="15" t="str">
        <x:v>首帧提示词</x:v>
      </x:c>
      <x:c r="C3" s="15" t="str">
        <x:v>视频提示词</x:v>
      </x:c>
      <x:c r="D3" s="15" t="str">
        <x:v>负面提示词</x:v>
      </x:c>
      <x:c r="E3" s="15" t="str">
        <x:v>参考图片</x:v>
      </x:c>
      <x:c r="F3" s="15" t="str">
        <x:v>首帧提示词哈希</x:v>
      </x:c>
      <x:c r="G3" s="11" t="str">
        <x:v>视频提示词哈希</x:v>
      </x:c>
    </x:row>
    <x:row r="4" ht="132" customHeight="1">
      <x:c r="A4" s="16" t="str">
        <x:v>v01-s01</x:v>
      </x:c>
      <x:c r="B4" s="16" t="str">
        <x:v>Use the reference only as the exact geometry standard for one integrated yellow tape and one intact transparent film sheet; create a clearly different setting and television. Photorealistic vertical commercial photograph of a 65-inch ultra-thin wall-mounted flat-panel television on a smooth pale-gray plaster wall in a bright Scandinavian living room being repainted. Include an oak console, covered sofa edge and folded canvas drop cloth in the wider background. One finite straight yellow masking-tape strip is adhered to the wall 12 centimeters above the television. Its square endpoints align exactly with the left and right vertical edges of one single transparent PE sheet permanently bonded along the tape's full lower edge. No tape extends beyond the film. The unbroken clear sheet hangs as one taut rectangular curtain in front of and completely beyond all four edges of the television, proven by soft reflections across the whole black screen and bezel. No hole, slit, split, flap, doubled layer, missing corner or detached tape. No person or hands. Wide full-wall composition, front-facing eye level, bright cool daylight, clean realistic renovation advertising, no text, logo or watermark.</x:v>
      </x:c>
      <x:c r="C4" s="16" t="str">
        <x:v>Maintain the approved Scandinavian living-room keyframe and exact integrated product geometry. The 65-inch television stays fully behind one continuous clear film sheet; the yellow wall tape stays bonded across the complete film top edge with aligned endpoints. Execute a slow left-to-right lateral slider move that reveals mild parallax between the oak console and pale wall. Only tiny natural surface shimmer may occur in the film; no tear, opening, doubled flap, loose tape, uncovered television, person, installation action, transformation, flicker, text or logo.</x:v>
      </x:c>
      <x:c r="D4" s="16" t="str">
        <x:v>broken film, split plastic, extra tape, exposed screen, tape on television, duplicate sheet</x:v>
      </x:c>
      <x:c r="E4" s="16" t="str">
        <x:v>../../04_电视_墙面固定_完整膜返工/技术记录（不用看）/approved-candidates/电视完整膜基准.png</x:v>
      </x:c>
      <x:c r="F4" s="16" t="str">
        <x:v>64ebb241c4793691</x:v>
      </x:c>
      <x:c r="G4" s="16" t="str">
        <x:v>989be0d00589988c</x:v>
      </x:c>
    </x:row>
    <x:row r="5" ht="132" customHeight="1">
      <x:c r="A5" s="16" t="str">
        <x:v>v02-s01</x:v>
      </x:c>
      <x:c r="B5" s="16" t="str">
        <x:v>Use the reference only for the non-negotiable same-width tape-and-film connection; change the television size, room, camera angle and human state. Photorealistic vertical commercial photograph in a warm boutique-hotel bedroom under renovation. A compact 43-inch black television is wall mounted above a narrow walnut desk on a smooth cream wall. One finite yellow masking-tape strip is fixed to the wall 10 centimeters above it. One intact transparent PE film sheet begins exactly at both tape endpoints and is permanently connected across the tape's full lower edge. The film is one continuous layer in front of the television, with soft side and lower margins covering 100 percent of screen and bezel. A professional European male painter in clean white workwear kneels at far frame left, looking toward the protected lower edge without touching the film or tape; his body never blocks the product. Three-quarter medium view from the right, warm practical bedside lighting plus soft daylight. No hole, opening, split, flap, second sheet, extra tape, exposed television, text, logo or watermark.</x:v>
      </x:c>
      <x:c r="C5" s="16" t="str">
        <x:v>Preserve the boutique-hotel bedroom, compact television, kneeling painter and the approved one-piece tape-film structure. Move the camera slowly to the right for restrained parallax across the walnut desk. The painter only shifts his gaze from the lower film margin to the yellow tape and gives one small satisfied nod; he never touches the product. The transparent sheet remains one intact layer covering the complete television, and both film edges remain aligned with the tape endpoints. No tear, flap, second layer, tape movement, installation, exposed screen, body occlusion, lip movement, text or logo.</x:v>
      </x:c>
      <x:c r="D5" s="16" t="str">
        <x:v>hands touching film, torn plastic, extra tape, person blocking product, exposed television</x:v>
      </x:c>
      <x:c r="E5" s="16" t="str">
        <x:v>../../04_电视_墙面固定_完整膜返工/技术记录（不用看）/approved-candidates/电视完整膜基准.png</x:v>
      </x:c>
      <x:c r="F5" s="16" t="str">
        <x:v>7d7c67b09261bc1a</x:v>
      </x:c>
      <x:c r="G5" s="16" t="str">
        <x:v>3d95e6b36115d38a</x:v>
      </x:c>
    </x:row>
    <x:row r="6" ht="132" customHeight="1">
      <x:c r="A6" s="16" t="str">
        <x:v>v03-s01</x:v>
      </x:c>
      <x:c r="B6" s="16" t="str">
        <x:v>Use the reference solely as the exact integrated product geometry; make the object, environment, framing and worker state visibly different. Photorealistic vertical commercial photograph of a very wide 75-inch wall-mounted flat-panel television centered on a large smooth white mounting panel set into an industrial loft media room with dark brick visible at both sides and a black metal console below. A single finite yellow masking-tape strip is adhered horizontally to the white panel 15 centimeters above the television. Exactly one broad intact transparent PE film sheet is bonded continuously to the tape's entire lower edge; film and tape have identical left and right endpoints. The clear sheet passes in front of the entire wide television and extends beyond both side edges and below the bottom bezel as one readable layer. A professional European painter stands at the far right outside the film boundary and points beside, not at or through, the protected area. Low-angle wide composition emphasizing the broad rectangular coverage. No broken plastic, seam, opening, duplicated sheet, tape overhang, person occlusion, text, logo or watermark.</x:v>
      </x:c>
      <x:c r="C6" s="16" t="str">
        <x:v>Keep the industrial loft, 75-inch television, standing painter and full-width one-piece film installation unchanged. Begin low on the black metal console and perform a gentle upward camera tilt ending on the straight yellow tape line. The painter makes one restrained open-palm presentation gesture beside the film boundary without touching it. Throughout the tilt the television remains fully behind one continuous transparent sheet with broad margins; tape and film endpoints stay aligned. No split, hole, double flap, extra tape, exposed bezel, strong wind, installation, speech, text or logo.</x:v>
      </x:c>
      <x:c r="D6" s="16" t="str">
        <x:v>camera orbit, broken film, tape overhang, presenter blocking television, extra plastic layer</x:v>
      </x:c>
      <x:c r="E6" s="16" t="str">
        <x:v>../../04_电视_墙面固定_完整膜返工/技术记录（不用看）/approved-candidates/电视完整膜基准.png</x:v>
      </x:c>
      <x:c r="F6" s="16" t="str">
        <x:v>2882a5dbf4beea98</x:v>
      </x:c>
      <x:c r="G6" s="16" t="str">
        <x:v>159e41806fbf71f6</x:v>
      </x:c>
    </x:row>
  </x:sheetData>
  <x:mergeCells>
    <x:mergeCell ref="A1:G1"/>
  </x:mergeCells>
  <x:pageMargins left="0.7" right="0.7" top="0.75" bottom="0.75" header="0.3" footer="0.3"/>
  <x:tableParts count="1">
    <x:tablePart xmlns:r="http://schemas.openxmlformats.org/officeDocument/2006/relationships" r:id="R80fa75427d06448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36" hidden="0" customWidth="1"/>
    <x:col min="4" max="4" width="60" hidden="0" customWidth="1"/>
  </x:cols>
  <x:sheetData>
    <x:row r="1" ht="32" customHeight="1">
      <x:c r="A1" s="3" t="str">
        <x:v>电视淘汰素材索引</x:v>
      </x:c>
      <x:c r="B1" s="3" t="str">
        <x:v>电视淘汰素材索引</x:v>
      </x:c>
      <x:c r="C1" s="3" t="str">
        <x:v>电视淘汰素材索引</x:v>
      </x:c>
      <x:c r="D1" s="3" t="str">
        <x:v>电视淘汰素材索引</x:v>
      </x:c>
    </x:row>
    <x:row r="3" ht="30" customHeight="1">
      <x:c r="A3" s="10" t="str">
        <x:v>来源批次</x:v>
      </x:c>
      <x:c r="B3" s="15" t="str">
        <x:v>案例/类型</x:v>
      </x:c>
      <x:c r="C3" s="15" t="str">
        <x:v>淘汰原因</x:v>
      </x:c>
      <x:c r="D3" s="11" t="str">
        <x:v>垃圾桶或证据路径</x:v>
      </x:c>
    </x:row>
    <x:row r="4">
      <x:c r="A4" s="16" t="str">
        <x:v>历史批次</x:v>
      </x:c>
      <x:c r="B4" s="16" t="str">
        <x:v>胶带误贴电视</x:v>
      </x:c>
      <x:c r="C4" s="16" t="str">
        <x:v>承载面错误</x:v>
      </x:c>
      <x:c r="D4" s="16" t="str">
        <x:v>99_垃圾桶（可回顾）/历史场景/01_电视_错误示例_胶带贴电视</x:v>
      </x:c>
    </x:row>
    <x:row r="5">
      <x:c r="A5" s="16" t="str">
        <x:v>历史批次</x:v>
      </x:c>
      <x:c r="B5" s="16" t="str">
        <x:v>墙面固定旧批次</x:v>
      </x:c>
      <x:c r="C5" s="16" t="str">
        <x:v>膜未完整覆盖、边界不连贯</x:v>
      </x:c>
      <x:c r="D5" s="16" t="str">
        <x:v>99_垃圾桶（可回顾）/历史场景/02_电视_墙面固定</x:v>
      </x:c>
    </x:row>
    <x:row r="6">
      <x:c r="A6" s="16" t="str">
        <x:v>完整膜返工案例02</x:v>
      </x:c>
      <x:c r="B6" s="16" t="str">
        <x:v>同构随机性测试</x:v>
      </x:c>
      <x:c r="C6" s="16" t="str">
        <x:v>贯穿全高的双层膜片歧义</x:v>
      </x:c>
      <x:c r="D6" s="16" t="str">
        <x:v>04_电视_墙面固定_完整膜返工/技术记录（不用看）/video-review.json</x:v>
      </x:c>
    </x:row>
    <x:row r="7">
      <x:c r="A7" s="16" t="str">
        <x:v>差异化批次案例03</x:v>
      </x:c>
      <x:c r="B7" s="16" t="str">
        <x:v>工业风电视展示</x:v>
      </x:c>
      <x:c r="C7" s="16" t="str">
        <x:v>约5秒后透明膜逐渐消失，电视重新裸露</x:v>
      </x:c>
      <x:c r="D7" s="16" t="str">
        <x:v>06_电视_差异化场景/技术记录（不用看）/video-review.json</x:v>
      </x:c>
    </x:row>
  </x:sheetData>
  <x:mergeCells>
    <x:mergeCell ref="A1:D1"/>
  </x:mergeCells>
  <x:pageMargins left="0.7" right="0.7" top="0.75" bottom="0.75" header="0.3" footer="0.3"/>
  <x:tableParts count="1">
    <x:tablePart xmlns:r="http://schemas.openxmlformats.org/officeDocument/2006/relationships" r:id="Rf4748318de2d4dc9"/>
  </x:tableParts>
</x:worksheet>
</file>