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ef82ec1e8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视频策略库" sheetId="1" r:id="Ra02494dbf7224a4e"/>
    <x:sheet xmlns:r="http://schemas.openxmlformats.org/officeDocument/2006/relationships" name="策略总览" sheetId="2" r:id="R792018fec5f84ae8"/>
    <x:sheet xmlns:r="http://schemas.openxmlformats.org/officeDocument/2006/relationships" name="提示词档案" sheetId="3" r:id="R639119724e834264"/>
    <x:sheet xmlns:r="http://schemas.openxmlformats.org/officeDocument/2006/relationships" name="淘汰记录" sheetId="4" r:id="Rdb62b6ab7e8242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¥#,##0.00"/>
    <x:numFmt numFmtId="201" formatCode="¥0.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5D7C"/>
      </x:patternFill>
    </x:fill>
  </x:fills>
  <x:borders count="4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7d09c644894a95" /><Relationship Type="http://schemas.openxmlformats.org/officeDocument/2006/relationships/theme" Target="/xl/theme/theme1.xml" Id="R65320cb0ef58434f" /><Relationship Type="http://schemas.openxmlformats.org/officeDocument/2006/relationships/sharedStrings" Target="/xl/sharedStrings.xml" Id="R418fa61774494d60" /><Relationship Type="http://schemas.openxmlformats.org/officeDocument/2006/relationships/worksheet" Target="/xl/worksheets/sheet1.xml" Id="Ra02494dbf7224a4e" /><Relationship Type="http://schemas.openxmlformats.org/officeDocument/2006/relationships/worksheet" Target="/xl/worksheets/sheet2.xml" Id="R792018fec5f84ae8" /><Relationship Type="http://schemas.openxmlformats.org/officeDocument/2006/relationships/worksheet" Target="/xl/worksheets/sheet3.xml" Id="R639119724e834264" /><Relationship Type="http://schemas.openxmlformats.org/officeDocument/2006/relationships/worksheet" Target="/xl/worksheets/sheet4.xml" Id="Rdb62b6ab7e824234" /></Relationships>
</file>

<file path=xl/tables/table1.xml><?xml version="1.0" encoding="utf-8"?>
<x:table xmlns:x="http://schemas.openxmlformats.org/spreadsheetml/2006/main" id="1" name="TVVideoStrategy" displayName="TVVideoStrategy" ref="A3:AA6" headerRowCount="1" totalsRowCount="0" totalsRowShown="0">
  <x:tableColumns count="27">
    <x:tableColumn id="1" name="案例ID"/>
    <x:tableColumn id="2" name="案例名称"/>
    <x:tableColumn id="3" name="物体种类"/>
    <x:tableColumn id="4" name="物体形态"/>
    <x:tableColumn id="5" name="环境场景"/>
    <x:tableColumn id="6" name="覆盖状态"/>
    <x:tableColumn id="7" name="镜头景别"/>
    <x:tableColumn id="8" name="镜头运动"/>
    <x:tableColumn id="9" name="人物/施工状态"/>
    <x:tableColumn id="10" name="完整文生视频提示词"/>
    <x:tableColumn id="11" name="图生视频提示词"/>
    <x:tableColumn id="12" name="首帧提示词"/>
    <x:tableColumn id="13" name="负面提示词"/>
    <x:tableColumn id="14" name="唯一组合指纹"/>
    <x:tableColumn id="15" name="首帧状态"/>
    <x:tableColumn id="16" name="视频状态"/>
    <x:tableColumn id="17" name="图片哈希"/>
    <x:tableColumn id="18" name="视频哈希"/>
    <x:tableColumn id="19" name="图片模型"/>
    <x:tableColumn id="20" name="视频模型"/>
    <x:tableColumn id="21" name="预计视频费用（元）"/>
    <x:tableColumn id="22" name="生成秒数"/>
    <x:tableColumn id="23" name="任务状态"/>
    <x:tableColumn id="24" name="参考图片"/>
    <x:tableColumn id="25" name="项目相对路径"/>
    <x:tableColumn id="26" name="文生视频提示词哈希"/>
    <x:tableColumn id="27" name="图生视频提示词哈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VPromptArchive" displayName="TVPromptArchive" ref="A3:H6" headerRowCount="1" totalsRowCount="0" totalsRowShown="0">
  <x:tableColumns count="8">
    <x:tableColumn id="1" name="案例ID"/>
    <x:tableColumn id="2" name="完整文生视频提示词"/>
    <x:tableColumn id="3" name="图生视频提示词"/>
    <x:tableColumn id="4" name="首帧提示词"/>
    <x:tableColumn id="5" name="负面提示词"/>
    <x:tableColumn id="6" name="参考图片"/>
    <x:tableColumn id="7" name="文生视频提示词哈希"/>
    <x:tableColumn id="8" name="图生视频提示词哈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VRejects" displayName="TVRejects" ref="A3:D7" headerRowCount="1" totalsRowCount="0" totalsRowShown="0">
  <x:tableColumns count="4">
    <x:tableColumn id="1" name="来源批次"/>
    <x:tableColumn id="2" name="案例/类型"/>
    <x:tableColumn id="3" name="淘汰原因"/>
    <x:tableColumn id="4" name="垃圾桶或证据路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c76b0b66ab42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edd716d26341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8f018ac7f046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70" hidden="0" customWidth="1"/>
    <x:col min="11" max="11" width="70" hidden="0" customWidth="1"/>
    <x:col min="12" max="12" width="70" hidden="0" customWidth="1"/>
    <x:col min="13" max="13" width="70" hidden="0" customWidth="1"/>
    <x:col min="14" max="14" width="16" hidden="0" customWidth="1"/>
    <x:col min="15" max="15" width="16" hidden="0" customWidth="1"/>
    <x:col min="16" max="16" width="16" hidden="0" customWidth="1"/>
    <x:col min="17" max="17" width="18" hidden="0" customWidth="1"/>
    <x:col min="18" max="18" width="18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34" hidden="0" customWidth="1"/>
    <x:col min="25" max="25" width="38" hidden="0" customWidth="1"/>
    <x:col min="26" max="26" width="16" hidden="0" customWidth="1"/>
    <x:col min="27" max="27" width="16" hidden="0" customWidth="1"/>
  </x:cols>
  <x:sheetData>
    <x:row r="1" ht="32" customHeight="1">
      <x:c r="A1" s="3" t="str">
        <x:v>电视视频策略库｜七个维度 + 一条组合对应一条文生视频提示词</x:v>
      </x:c>
      <x:c r="B1" s="3" t="str">
        <x:v>电视视频策略库｜七个维度 + 一条组合对应一条文生视频提示词</x:v>
      </x:c>
      <x:c r="C1" s="3" t="str">
        <x:v>电视视频策略库｜七个维度 + 一条组合对应一条文生视频提示词</x:v>
      </x:c>
      <x:c r="D1" s="3" t="str">
        <x:v>电视视频策略库｜七个维度 + 一条组合对应一条文生视频提示词</x:v>
      </x:c>
      <x:c r="E1" s="3" t="str">
        <x:v>电视视频策略库｜七个维度 + 一条组合对应一条文生视频提示词</x:v>
      </x:c>
      <x:c r="F1" s="3" t="str">
        <x:v>电视视频策略库｜七个维度 + 一条组合对应一条文生视频提示词</x:v>
      </x:c>
      <x:c r="G1" s="3" t="str">
        <x:v>电视视频策略库｜七个维度 + 一条组合对应一条文生视频提示词</x:v>
      </x:c>
      <x:c r="H1" s="3" t="str">
        <x:v>电视视频策略库｜七个维度 + 一条组合对应一条文生视频提示词</x:v>
      </x:c>
      <x:c r="I1" s="3" t="str">
        <x:v>电视视频策略库｜七个维度 + 一条组合对应一条文生视频提示词</x:v>
      </x:c>
      <x:c r="J1" s="3" t="str">
        <x:v>电视视频策略库｜七个维度 + 一条组合对应一条文生视频提示词</x:v>
      </x:c>
      <x:c r="K1" s="3" t="str">
        <x:v>电视视频策略库｜七个维度 + 一条组合对应一条文生视频提示词</x:v>
      </x:c>
      <x:c r="L1" s="3" t="str">
        <x:v>电视视频策略库｜七个维度 + 一条组合对应一条文生视频提示词</x:v>
      </x:c>
      <x:c r="M1" s="3" t="str">
        <x:v>电视视频策略库｜七个维度 + 一条组合对应一条文生视频提示词</x:v>
      </x:c>
      <x:c r="N1" s="3" t="str">
        <x:v>电视视频策略库｜七个维度 + 一条组合对应一条文生视频提示词</x:v>
      </x:c>
      <x:c r="O1" s="3" t="str">
        <x:v>电视视频策略库｜七个维度 + 一条组合对应一条文生视频提示词</x:v>
      </x:c>
      <x:c r="P1" s="3" t="str">
        <x:v>电视视频策略库｜七个维度 + 一条组合对应一条文生视频提示词</x:v>
      </x:c>
      <x:c r="Q1" s="3" t="str">
        <x:v>电视视频策略库｜七个维度 + 一条组合对应一条文生视频提示词</x:v>
      </x:c>
      <x:c r="R1" s="3" t="str">
        <x:v>电视视频策略库｜七个维度 + 一条组合对应一条文生视频提示词</x:v>
      </x:c>
      <x:c r="S1" s="3" t="str">
        <x:v>电视视频策略库｜七个维度 + 一条组合对应一条文生视频提示词</x:v>
      </x:c>
      <x:c r="T1" s="3" t="str">
        <x:v>电视视频策略库｜七个维度 + 一条组合对应一条文生视频提示词</x:v>
      </x:c>
      <x:c r="U1" s="3" t="str">
        <x:v>电视视频策略库｜七个维度 + 一条组合对应一条文生视频提示词</x:v>
      </x:c>
      <x:c r="V1" s="3" t="str">
        <x:v>电视视频策略库｜七个维度 + 一条组合对应一条文生视频提示词</x:v>
      </x:c>
      <x:c r="W1" s="3" t="str">
        <x:v>电视视频策略库｜七个维度 + 一条组合对应一条文生视频提示词</x:v>
      </x:c>
      <x:c r="X1" s="3" t="str">
        <x:v>电视视频策略库｜七个维度 + 一条组合对应一条文生视频提示词</x:v>
      </x:c>
      <x:c r="Y1" s="3" t="str">
        <x:v>电视视频策略库｜七个维度 + 一条组合对应一条文生视频提示词</x:v>
      </x:c>
      <x:c r="Z1" s="3" t="str">
        <x:v>电视视频策略库｜七个维度 + 一条组合对应一条文生视频提示词</x:v>
      </x:c>
      <x:c r="AA1" s="3" t="str">
        <x:v>电视视频策略库｜七个维度 + 一条组合对应一条文生视频提示词</x:v>
      </x:c>
    </x:row>
    <x:row r="3" ht="30" customHeight="1">
      <x:c r="A3" s="10" t="str">
        <x:v>案例ID</x:v>
      </x:c>
      <x:c r="B3" s="15" t="str">
        <x:v>案例名称</x:v>
      </x:c>
      <x:c r="C3" s="15" t="str">
        <x:v>物体种类</x:v>
      </x:c>
      <x:c r="D3" s="15" t="str">
        <x:v>物体形态</x:v>
      </x:c>
      <x:c r="E3" s="15" t="str">
        <x:v>环境场景</x:v>
      </x:c>
      <x:c r="F3" s="15" t="str">
        <x:v>覆盖状态</x:v>
      </x:c>
      <x:c r="G3" s="15" t="str">
        <x:v>镜头景别</x:v>
      </x:c>
      <x:c r="H3" s="15" t="str">
        <x:v>镜头运动</x:v>
      </x:c>
      <x:c r="I3" s="15" t="str">
        <x:v>人物/施工状态</x:v>
      </x:c>
      <x:c r="J3" s="15" t="str">
        <x:v>完整文生视频提示词</x:v>
      </x:c>
      <x:c r="K3" s="15" t="str">
        <x:v>图生视频提示词</x:v>
      </x:c>
      <x:c r="L3" s="15" t="str">
        <x:v>首帧提示词</x:v>
      </x:c>
      <x:c r="M3" s="15" t="str">
        <x:v>负面提示词</x:v>
      </x:c>
      <x:c r="N3" s="15" t="str">
        <x:v>唯一组合指纹</x:v>
      </x:c>
      <x:c r="O3" s="15" t="str">
        <x:v>首帧状态</x:v>
      </x:c>
      <x:c r="P3" s="15" t="str">
        <x:v>视频状态</x:v>
      </x:c>
      <x:c r="Q3" s="15" t="str">
        <x:v>图片哈希</x:v>
      </x:c>
      <x:c r="R3" s="15" t="str">
        <x:v>视频哈希</x:v>
      </x:c>
      <x:c r="S3" s="15" t="str">
        <x:v>图片模型</x:v>
      </x:c>
      <x:c r="T3" s="15" t="str">
        <x:v>视频模型</x:v>
      </x:c>
      <x:c r="U3" s="15" t="str">
        <x:v>预计视频费用（元）</x:v>
      </x:c>
      <x:c r="V3" s="15" t="str">
        <x:v>生成秒数</x:v>
      </x:c>
      <x:c r="W3" s="15" t="str">
        <x:v>任务状态</x:v>
      </x:c>
      <x:c r="X3" s="15" t="str">
        <x:v>参考图片</x:v>
      </x:c>
      <x:c r="Y3" s="15" t="str">
        <x:v>项目相对路径</x:v>
      </x:c>
      <x:c r="Z3" s="15" t="str">
        <x:v>文生视频提示词哈希</x:v>
      </x:c>
      <x:c r="AA3" s="11" t="str">
        <x:v>图生视频提示词哈希</x:v>
      </x:c>
    </x:row>
    <x:row r="4" ht="300" customHeight="1">
      <x:c r="A4" s="16" t="str">
        <x:v>v01-s01</x:v>
      </x:c>
      <x:c r="B4" s="16" t="str">
        <x:v>电视案例01</x:v>
      </x:c>
      <x:c r="C4" s="16" t="str">
        <x:v>电视</x:v>
      </x:c>
      <x:c r="D4" s="16" t="str">
        <x:v>65英寸超薄壁挂平板电视</x:v>
      </x:c>
      <x:c r="E4" s="16" t="str">
        <x:v>正在重新粉刷的明亮北欧风客厅</x:v>
      </x:c>
      <x:c r="F4" s="16" t="str">
        <x:v>一整张绷紧的矩形透明膜完整覆盖电视，并在四周留出清晰边界</x:v>
      </x:c>
      <x:c r="G4" s="16" t="str">
        <x:v>正面墙体全景</x:v>
      </x:c>
      <x:c r="H4" s="16" t="str">
        <x:v>镜头从左向右缓慢横移</x:v>
      </x:c>
      <x:c r="I4" s="16" t="str">
        <x:v>无人物，防护施工已经完成</x:v>
      </x:c>
      <x:c r="J4" s="16" t="str">
        <x:v>生成一条10秒、9:16竖屏、写实装修广告风格的视频。 物体种类：电视；物体形态：65英寸超薄壁挂平板电视。 环境场景：正在重新粉刷的明亮北欧风客厅。覆盖状态：一整张绷紧的矩形透明膜完整覆盖电视，并在四周留出清晰边界。 镜头景别：正面墙体全景；镜头运动：镜头从左向右缓慢横移。 人物或施工状态：无人物，防护施工已经完成。 首帧与产品结构：生成一张9:16竖屏写实商业摄影首帧：正在重新粉刷的明亮北欧风客厅内，一台65英寸超薄壁挂电视固定在浅色墙面。电视上方约12厘米的墙面粘贴一条长度有限、笔直完整的黄色美纹胶带；一整张与胶带同宽的透明PE薄膜永久连接在胶带下沿，从胶带左右端点垂直向下展开，完整覆盖电视屏幕、边框及四周区域。薄膜必须位于电视前方，四边连续、无破口、无分叉、无第二层膜。画面无人物，正面墙体全景，冷色自然日光，真实装修广告质感，不出现文字、标识或水印。 动态过程：以已批准的北欧客厅首帧为起点，保持65英寸壁挂电视、黄色胶带和一体式透明膜的结构完全不变。镜头从左向右缓慢横移，背景产生轻微视差；薄膜只能出现细微自然反光，不得移动、撕裂或消失。全程电视位于同一张透明膜后方，胶带与膜上沿连续连接，禁止人物进入、禁止安装动作、禁止新增胶带、禁止屏幕裸露、禁止文字和标识。 全程硬性要求：透明PE薄膜必须始终是一整张连续完整的薄膜，并永久连接在同一条笔直黄色美纹胶带的整个下沿；目标物必须始终完整位于薄膜后方。不得出现孔洞、撕裂、分叉、重复薄膜、额外胶带、目标物裸露、文字、标识或水印。</x:v>
      </x:c>
      <x:c r="K4" s="16" t="str">
        <x:v>以已批准的北欧客厅首帧为起点，保持65英寸壁挂电视、黄色胶带和一体式透明膜的结构完全不变。镜头从左向右缓慢横移，背景产生轻微视差；薄膜只能出现细微自然反光，不得移动、撕裂或消失。全程电视位于同一张透明膜后方，胶带与膜上沿连续连接，禁止人物进入、禁止安装动作、禁止新增胶带、禁止屏幕裸露、禁止文字和标识。</x:v>
      </x:c>
      <x:c r="L4" s="16" t="str">
        <x:v>生成一张9:16竖屏写实商业摄影首帧：正在重新粉刷的明亮北欧风客厅内，一台65英寸超薄壁挂电视固定在浅色墙面。电视上方约12厘米的墙面粘贴一条长度有限、笔直完整的黄色美纹胶带；一整张与胶带同宽的透明PE薄膜永久连接在胶带下沿，从胶带左右端点垂直向下展开，完整覆盖电视屏幕、边框及四周区域。薄膜必须位于电视前方，四边连续、无破口、无分叉、无第二层膜。画面无人物，正面墙体全景，冷色自然日光，真实装修广告质感，不出现文字、标识或水印。</x:v>
      </x:c>
      <x:c r="M4" s="16" t="str">
        <x:v>破膜、裂口、分叉、双层膜、额外胶带、胶带贴在电视上、电视裸露、人物、安装动作、文字、标识、水印</x:v>
      </x:c>
      <x:c r="N4" s="16" t="str">
        <x:v>a2db2b40b93d</x:v>
      </x:c>
      <x:c r="O4" s="16" t="str">
        <x:v>通过</x:v>
      </x:c>
      <x:c r="P4" s="16" t="str">
        <x:v>通过</x:v>
      </x:c>
      <x:c r="Q4" s="16" t="str">
        <x:v>5a1fe65799bc295023a3214271fca0dc2e937204ba29e1fb377d2f1808602caf</x:v>
      </x:c>
      <x:c r="R4" s="16" t="str">
        <x:v>e1cbb570af138da14ef24c8185c9ded84e2c9005570140ac3b2f8a9d6961889b</x:v>
      </x:c>
      <x:c r="S4" s="16" t="str">
        <x:v>seedream-5.0-lite</x:v>
      </x:c>
      <x:c r="T4" s="16" t="str">
        <x:v>grok-imagine-video-1.5-fast</x:v>
      </x:c>
      <x:c r="U4" s="20" t="n">
        <x:v>0.6</x:v>
      </x:c>
      <x:c r="V4" s="16" t="n">
        <x:v>10</x:v>
      </x:c>
      <x:c r="W4" s="16" t="str">
        <x:v>已完成</x:v>
      </x:c>
      <x:c r="X4" s="16" t="str">
        <x:v>../../04_电视_墙面固定_完整膜返工/技术记录（不用看）/approved-candidates/电视完整膜基准.png</x:v>
      </x:c>
      <x:c r="Y4" s="16" t="str">
        <x:v>03_视频项目/防尘膜短视频/08_场景单元/06_电视_差异化场景/技术记录（不用看）</x:v>
      </x:c>
      <x:c r="Z4" s="16" t="str">
        <x:v>4608463e01bf6f70</x:v>
      </x:c>
      <x:c r="AA4" s="16" t="str">
        <x:v>365df2c1d064cfcd</x:v>
      </x:c>
    </x:row>
    <x:row r="5" ht="300" customHeight="1">
      <x:c r="A5" s="16" t="str">
        <x:v>v02-s01</x:v>
      </x:c>
      <x:c r="B5" s="16" t="str">
        <x:v>电视案例02</x:v>
      </x:c>
      <x:c r="C5" s="16" t="str">
        <x:v>电视</x:v>
      </x:c>
      <x:c r="D5" s="16" t="str">
        <x:v>43英寸紧凑型壁挂平板电视</x:v>
      </x:c>
      <x:c r="E5" s="16" t="str">
        <x:v>正在翻新的暖色精品酒店客房</x:v>
      </x:c>
      <x:c r="F5" s="16" t="str">
        <x:v>透明膜完整覆盖电视，侧边和下沿呈轻微自然垂坠</x:v>
      </x:c>
      <x:c r="G5" s="16" t="str">
        <x:v>从右侧拍摄的四分之三中景</x:v>
      </x:c>
      <x:c r="H5" s="16" t="str">
        <x:v>镜头缓慢向右移动，产生克制的空间视差</x:v>
      </x:c>
      <x:c r="I5" s="16" t="str">
        <x:v>专业欧美油漆工跪在画面左侧，只观察胶带边缘且不触碰产品</x:v>
      </x:c>
      <x:c r="J5" s="16" t="str">
        <x:v>生成一条10秒、9:16竖屏、写实装修广告风格的视频。 物体种类：电视；物体形态：43英寸紧凑型壁挂平板电视。 环境场景：正在翻新的暖色精品酒店客房。覆盖状态：透明膜完整覆盖电视，侧边和下沿呈轻微自然垂坠。 镜头景别：从右侧拍摄的四分之三中景；镜头运动：镜头缓慢向右移动，产生克制的空间视差。 人物或施工状态：专业欧美油漆工跪在画面左侧，只观察胶带边缘且不触碰产品。 首帧与产品结构：生成一张9:16竖屏写实商业摄影首帧：暖色精品酒店客房正在翻新，一台43英寸紧凑型壁挂电视安装在床头墙面。电视上方约10厘米的墙面粘贴一条笔直、长度有限的黄色美纹胶带；同宽透明PE薄膜永久连接在胶带整个下沿，作为一整张连续薄膜覆盖电视屏幕和边框，左右及下沿有轻微自然垂坠但没有开口。画面左侧是一名穿白色工作服的专业欧美男油漆工，跪姿观察胶带边缘，不接触、不遮挡产品。右侧四分之三中景，暖色实用灯光与柔和日光结合，无文字、标识或水印。 动态过程：以已批准的酒店客房首帧为起点，保持43英寸电视、跪姿油漆工以及胶带与薄膜的一体式结构不变。镜头缓慢向右移动，产生克制的空间视差；油漆工只把视线从薄膜下沿移向黄色胶带，并轻微点头，不触碰产品。薄膜始终是一整张连续材料，左右端点与胶带对齐，电视全程位于膜后。禁止撕裂、第二层膜、额外胶带、手部接触、屏幕裸露、人物遮挡、说话口型、文字和标识。 全程硬性要求：透明PE薄膜必须始终是一整张连续完整的薄膜，并永久连接在同一条笔直黄色美纹胶带的整个下沿；目标物必须始终完整位于薄膜后方。不得出现孔洞、撕裂、分叉、重复薄膜、额外胶带、目标物裸露、文字、标识或水印。</x:v>
      </x:c>
      <x:c r="K5" s="16" t="str">
        <x:v>以已批准的酒店客房首帧为起点，保持43英寸电视、跪姿油漆工以及胶带与薄膜的一体式结构不变。镜头缓慢向右移动，产生克制的空间视差；油漆工只把视线从薄膜下沿移向黄色胶带，并轻微点头，不触碰产品。薄膜始终是一整张连续材料，左右端点与胶带对齐，电视全程位于膜后。禁止撕裂、第二层膜、额外胶带、手部接触、屏幕裸露、人物遮挡、说话口型、文字和标识。</x:v>
      </x:c>
      <x:c r="L5" s="16" t="str">
        <x:v>生成一张9:16竖屏写实商业摄影首帧：暖色精品酒店客房正在翻新，一台43英寸紧凑型壁挂电视安装在床头墙面。电视上方约10厘米的墙面粘贴一条笔直、长度有限的黄色美纹胶带；同宽透明PE薄膜永久连接在胶带整个下沿，作为一整张连续薄膜覆盖电视屏幕和边框，左右及下沿有轻微自然垂坠但没有开口。画面左侧是一名穿白色工作服的专业欧美男油漆工，跪姿观察胶带边缘，不接触、不遮挡产品。右侧四分之三中景，暖色实用灯光与柔和日光结合，无文字、标识或水印。</x:v>
      </x:c>
      <x:c r="M5" s="16" t="str">
        <x:v>手触碰薄膜、撕裂塑料、额外胶带、人物遮挡电视、电视裸露、双层膜、说话口型、文字、标识、水印</x:v>
      </x:c>
      <x:c r="N5" s="16" t="str">
        <x:v>9d72917b4125</x:v>
      </x:c>
      <x:c r="O5" s="16" t="str">
        <x:v>通过</x:v>
      </x:c>
      <x:c r="P5" s="16" t="str">
        <x:v>通过</x:v>
      </x:c>
      <x:c r="Q5" s="16" t="str">
        <x:v>0303b24d530d619f3aed59ac14065486768a84e9a52c98a21a4b053bd4db78bc</x:v>
      </x:c>
      <x:c r="R5" s="16" t="str">
        <x:v>c3db73e0a1871d0c6ec6e6918d7d6b3fef82e941b093320cfe58808bea9c58b7</x:v>
      </x:c>
      <x:c r="S5" s="16" t="str">
        <x:v>seedream-5.0-lite</x:v>
      </x:c>
      <x:c r="T5" s="16" t="str">
        <x:v>grok-imagine-video-1.5-fast</x:v>
      </x:c>
      <x:c r="U5" s="20" t="n">
        <x:v>0.6</x:v>
      </x:c>
      <x:c r="V5" s="16" t="n">
        <x:v>10</x:v>
      </x:c>
      <x:c r="W5" s="16" t="str">
        <x:v>已完成</x:v>
      </x:c>
      <x:c r="X5" s="16" t="str">
        <x:v>../../04_电视_墙面固定_完整膜返工/技术记录（不用看）/approved-candidates/电视完整膜基准.png</x:v>
      </x:c>
      <x:c r="Y5" s="16" t="str">
        <x:v>03_视频项目/防尘膜短视频/08_场景单元/06_电视_差异化场景/技术记录（不用看）</x:v>
      </x:c>
      <x:c r="Z5" s="16" t="str">
        <x:v>4cb8aea4db242032</x:v>
      </x:c>
      <x:c r="AA5" s="16" t="str">
        <x:v>8c9b3e0b2372ea58</x:v>
      </x:c>
    </x:row>
    <x:row r="6" ht="300" customHeight="1">
      <x:c r="A6" s="16" t="str">
        <x:v>v03-s01</x:v>
      </x:c>
      <x:c r="B6" s="16" t="str">
        <x:v>电视案例03</x:v>
      </x:c>
      <x:c r="C6" s="16" t="str">
        <x:v>电视</x:v>
      </x:c>
      <x:c r="D6" s="16" t="str">
        <x:v>75英寸超宽壁挂平板电视</x:v>
      </x:c>
      <x:c r="E6" s="16" t="str">
        <x:v>带白色安装墙面的工业风阁楼影音区</x:v>
      </x:c>
      <x:c r="F6" s="16" t="str">
        <x:v>宽幅透明膜完整覆盖电视，左右留出宽边，下沿轻微绷紧</x:v>
      </x:c>
      <x:c r="G6" s="16" t="str">
        <x:v>低机位广角镜头</x:v>
      </x:c>
      <x:c r="H6" s="16" t="str">
        <x:v>镜头从下方电视柜缓慢向上抬升至黄色胶带</x:v>
      </x:c>
      <x:c r="I6" s="16" t="str">
        <x:v>专业欧美油漆工站在画面最右侧，在防护区域旁做展示手势</x:v>
      </x:c>
      <x:c r="J6" s="16" t="str">
        <x:v>生成一条10秒、9:16竖屏、写实装修广告风格的视频。 物体种类：电视；物体形态：75英寸超宽壁挂平板电视。 环境场景：带白色安装墙面的工业风阁楼影音区。覆盖状态：宽幅透明膜完整覆盖电视，左右留出宽边，下沿轻微绷紧。 镜头景别：低机位广角镜头；镜头运动：镜头从下方电视柜缓慢向上抬升至黄色胶带。 人物或施工状态：专业欧美油漆工站在画面最右侧，在防护区域旁做展示手势。 首帧与产品结构：生成一张9:16竖屏写实商业摄影首帧：工业风阁楼影音区内，一台75英寸超宽壁挂电视安装在平整白色墙板上。电视上方约15厘米处粘贴一条水平、笔直、长度有限的黄色美纹胶带；一整张宽幅透明PE膜与胶带下沿全长永久连接，左右端点严格对齐，薄膜覆盖整台电视并在左右留下清晰宽边，下沿轻微绷紧。专业欧美男油漆工站在画面最右侧，在薄膜边界之外做开放手掌展示动作，不接触、不遮挡电视。低机位广角构图，工业风黑色电视柜位于前景，无文字、标识或水印。 动态过程：以已批准的工业风阁楼首帧为起点，保持75英寸电视、站立油漆工和整幅一体式防尘膜完全不变。镜头从黑色电视柜开始，缓慢向上抬升至黄色胶带；油漆工只在薄膜边界外做一次幅度很小的开放手掌展示动作。电视全程位于一整张连续透明膜后，膜面不得逐渐消失，胶带和薄膜端点始终对齐。禁止环绕运镜、破膜、双层膜、胶带悬空、额外胶带、电视裸露、人物遮挡、说话、文字和标识。 全程硬性要求：透明PE薄膜必须始终是一整张连续完整的薄膜，并永久连接在同一条笔直黄色美纹胶带的整个下沿；目标物必须始终完整位于薄膜后方。不得出现孔洞、撕裂、分叉、重复薄膜、额外胶带、目标物裸露、文字、标识或水印。</x:v>
      </x:c>
      <x:c r="K6" s="16" t="str">
        <x:v>以已批准的工业风阁楼首帧为起点，保持75英寸电视、站立油漆工和整幅一体式防尘膜完全不变。镜头从黑色电视柜开始，缓慢向上抬升至黄色胶带；油漆工只在薄膜边界外做一次幅度很小的开放手掌展示动作。电视全程位于一整张连续透明膜后，膜面不得逐渐消失，胶带和薄膜端点始终对齐。禁止环绕运镜、破膜、双层膜、胶带悬空、额外胶带、电视裸露、人物遮挡、说话、文字和标识。</x:v>
      </x:c>
      <x:c r="L6" s="16" t="str">
        <x:v>生成一张9:16竖屏写实商业摄影首帧：工业风阁楼影音区内，一台75英寸超宽壁挂电视安装在平整白色墙板上。电视上方约15厘米处粘贴一条水平、笔直、长度有限的黄色美纹胶带；一整张宽幅透明PE膜与胶带下沿全长永久连接，左右端点严格对齐，薄膜覆盖整台电视并在左右留下清晰宽边，下沿轻微绷紧。专业欧美男油漆工站在画面最右侧，在薄膜边界之外做开放手掌展示动作，不接触、不遮挡电视。低机位广角构图，工业风黑色电视柜位于前景，无文字、标识或水印。</x:v>
      </x:c>
      <x:c r="M6" s="16" t="str">
        <x:v>环绕运镜、透明膜消失、破膜、胶带超出薄膜、人物遮挡电视、额外塑料层、电视裸露、文字、标识、水印</x:v>
      </x:c>
      <x:c r="N6" s="16" t="str">
        <x:v>fc5af9625de9</x:v>
      </x:c>
      <x:c r="O6" s="16" t="str">
        <x:v>通过</x:v>
      </x:c>
      <x:c r="P6" s="16" t="str">
        <x:v>淘汰</x:v>
      </x:c>
      <x:c r="Q6" s="16" t="str">
        <x:v>9fbc6f466b567258e7d6339a36bc6db7522e8b1c60a3d3e55c006dd0606b9060</x:v>
      </x:c>
      <x:c r="R6" s="16" t="str">
        <x:v>93ae4e3521b49c08de0e3073cdcfb5313fe8e52aabcf823bb6722e7fcd8bb870</x:v>
      </x:c>
      <x:c r="S6" s="16" t="str">
        <x:v>seedream-5.0-lite</x:v>
      </x:c>
      <x:c r="T6" s="16" t="str">
        <x:v>grok-imagine-video-1.5-fast</x:v>
      </x:c>
      <x:c r="U6" s="20" t="n">
        <x:v>0.6</x:v>
      </x:c>
      <x:c r="V6" s="16" t="n">
        <x:v>10</x:v>
      </x:c>
      <x:c r="W6" s="16" t="str">
        <x:v>已完成</x:v>
      </x:c>
      <x:c r="X6" s="16" t="str">
        <x:v>../../04_电视_墙面固定_完整膜返工/技术记录（不用看）/approved-candidates/电视完整膜基准.png</x:v>
      </x:c>
      <x:c r="Y6" s="16" t="str">
        <x:v>03_视频项目/防尘膜短视频/08_场景单元/06_电视_差异化场景/技术记录（不用看）</x:v>
      </x:c>
      <x:c r="Z6" s="16" t="str">
        <x:v>f00122b818f63193</x:v>
      </x:c>
      <x:c r="AA6" s="16" t="str">
        <x:v>c8b6b4f452377c85</x:v>
      </x:c>
    </x:row>
  </x:sheetData>
  <x:mergeCells>
    <x:mergeCell ref="A1:AA1"/>
  </x:mergeCells>
  <x:conditionalFormatting sqref="O4:P6">
    <x:cfRule type="containsText" dxfId="0" priority="1" operator="containsText" text="通过"/>
    <x:cfRule type="containsText" dxfId="1" priority="2" operator="containsText" text="淘汰"/>
    <x:cfRule type="containsText" dxfId="2" priority="3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18c76b0b66ab42f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2" customHeight="1">
      <x:c r="A1" s="3" t="str">
        <x:v>电视 AI 视频素材策略台账</x:v>
      </x:c>
      <x:c r="B1" s="3" t="str">
        <x:v>电视 AI 视频素材策略台账</x:v>
      </x:c>
      <x:c r="C1" s="3" t="str">
        <x:v>电视 AI 视频素材策略台账</x:v>
      </x:c>
      <x:c r="D1" s="3" t="str">
        <x:v>电视 AI 视频素材策略台账</x:v>
      </x:c>
      <x:c r="E1" s="3" t="str">
        <x:v>电视 AI 视频素材策略台账</x:v>
      </x:c>
      <x:c r="F1" s="3" t="str">
        <x:v>电视 AI 视频素材策略台账</x:v>
      </x:c>
    </x:row>
    <x:row r="2">
      <x:c r="A2" s="17"/>
      <x:c r="B2" s="17"/>
      <x:c r="C2" s="17"/>
      <x:c r="D2" s="17"/>
      <x:c r="E2" s="17"/>
      <x:c r="F2" s="17"/>
    </x:row>
    <x:row r="3" ht="30" customHeight="1">
      <x:c r="A3" s="10" t="str">
        <x:v>指标</x:v>
      </x:c>
      <x:c r="B3" s="11" t="str">
        <x:v>当前值</x:v>
      </x:c>
      <x:c r="C3" s="17"/>
      <x:c r="D3" s="17"/>
      <x:c r="E3" s="17"/>
      <x:c r="F3" s="17"/>
    </x:row>
    <x:row r="4">
      <x:c r="A4" s="17" t="str">
        <x:v>差异化案例数</x:v>
      </x:c>
      <x:c r="B4" s="17" t="n">
        <x:f>COUNTA('视频策略库'!$A$4:$A$100)</x:f>
        <x:v>3</x:v>
      </x:c>
      <x:c r="C4" s="17"/>
      <x:c r="D4" s="17"/>
      <x:c r="E4" s="17"/>
      <x:c r="F4" s="17"/>
    </x:row>
    <x:row r="5">
      <x:c r="A5" s="17" t="str">
        <x:v>唯一七维组合数</x:v>
      </x:c>
      <x:c r="B5" s="17" t="n">
        <x:f>COUNTA('视频策略库'!$N$4:$N$100)</x:f>
        <x:v>3</x:v>
      </x:c>
      <x:c r="C5" s="17"/>
      <x:c r="D5" s="17"/>
      <x:c r="E5" s="17"/>
      <x:c r="F5" s="17"/>
    </x:row>
    <x:row r="6">
      <x:c r="A6" s="17" t="str">
        <x:v>首帧通过数</x:v>
      </x:c>
      <x:c r="B6" s="17" t="n">
        <x:f>COUNTIF('视频策略库'!$O$4:$O$100,"通过")</x:f>
        <x:v>3</x:v>
      </x:c>
      <x:c r="C6" s="17"/>
      <x:c r="D6" s="17"/>
      <x:c r="E6" s="17"/>
      <x:c r="F6" s="17"/>
    </x:row>
    <x:row r="7">
      <x:c r="A7" s="17" t="str">
        <x:v>视频通过数</x:v>
      </x:c>
      <x:c r="B7" s="17" t="n">
        <x:f>COUNTIF('视频策略库'!$P$4:$P$100,"通过")</x:f>
        <x:v>2</x:v>
      </x:c>
      <x:c r="C7" s="17"/>
      <x:c r="D7" s="17"/>
      <x:c r="E7" s="17"/>
      <x:c r="F7" s="17"/>
    </x:row>
    <x:row r="8">
      <x:c r="A8" s="17" t="str">
        <x:v>预计视频费用（元）</x:v>
      </x:c>
      <x:c r="B8" s="18" t="n">
        <x:f>ROUND(SUM('视频策略库'!$U$4:$U$100),2)</x:f>
        <x:v>1.8</x:v>
      </x:c>
      <x:c r="C8" s="17"/>
      <x:c r="D8" s="17"/>
      <x:c r="E8" s="17"/>
      <x:c r="F8" s="17"/>
    </x:row>
    <x:row r="9">
      <x:c r="A9" s="17"/>
      <x:c r="B9" s="17"/>
      <x:c r="C9" s="17"/>
      <x:c r="D9" s="17"/>
      <x:c r="E9" s="17"/>
      <x:c r="F9" s="17"/>
    </x:row>
    <x:row r="10" ht="30" customHeight="1">
      <x:c r="A10" s="10" t="str">
        <x:v>使用说明</x:v>
      </x:c>
      <x:c r="B10" s="15"/>
      <x:c r="C10" s="15"/>
      <x:c r="D10" s="15"/>
      <x:c r="E10" s="15"/>
      <x:c r="F10" s="11"/>
    </x:row>
    <x:row r="11">
      <x:c r="A11" s="19" t="str">
        <x:v>机器执行源</x:v>
      </x:c>
      <x:c r="B11" s="19" t="str">
        <x:v>技术记录（不用看）/project.json</x:v>
      </x:c>
      <x:c r="C11" s="19"/>
      <x:c r="D11" s="19"/>
      <x:c r="E11" s="19"/>
      <x:c r="F11" s="19"/>
    </x:row>
    <x:row r="12">
      <x:c r="A12" s="19" t="str">
        <x:v>台账定位</x:v>
      </x:c>
      <x:c r="B12" s="19" t="str">
        <x:v>主表逐行列出七维组合及其完整文生视频提示词；统计页仅用于辅助查看</x:v>
      </x:c>
      <x:c r="C12" s="19"/>
      <x:c r="D12" s="19"/>
      <x:c r="E12" s="19"/>
      <x:c r="F12" s="19"/>
    </x:row>
    <x:row r="13">
      <x:c r="A13" s="19" t="str">
        <x:v>同步规则</x:v>
      </x:c>
      <x:c r="B13" s="19" t="str">
        <x:v>提示词或状态变化后重新运行台账生成器，不在 Excel 内反向修改 JSON</x:v>
      </x:c>
      <x:c r="C13" s="19"/>
      <x:c r="D13" s="19"/>
      <x:c r="E13" s="19"/>
      <x:c r="F13" s="19"/>
    </x:row>
  </x:sheetData>
  <x:mergeCells>
    <x:mergeCell ref="A1:F1"/>
    <x:mergeCell ref="A10:F10"/>
    <x:mergeCell ref="B11:F11"/>
    <x:mergeCell ref="B12:F12"/>
    <x:mergeCell ref="B13:F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70" hidden="0" customWidth="1"/>
    <x:col min="3" max="3" width="70" hidden="0" customWidth="1"/>
    <x:col min="4" max="4" width="70" hidden="0" customWidth="1"/>
    <x:col min="5" max="5" width="30" hidden="0" customWidth="1"/>
    <x:col min="6" max="6" width="30" hidden="0" customWidth="1"/>
    <x:col min="7" max="7" width="20" hidden="0" customWidth="1"/>
    <x:col min="8" max="8" width="20" hidden="0" customWidth="1"/>
  </x:cols>
  <x:sheetData>
    <x:row r="1" ht="32" customHeight="1">
      <x:c r="A1" s="3" t="str">
        <x:v>电视提示词档案｜区分文生视频、图生视频与首帧提示词</x:v>
      </x:c>
      <x:c r="B1" s="3" t="str">
        <x:v>电视提示词档案｜区分文生视频、图生视频与首帧提示词</x:v>
      </x:c>
      <x:c r="C1" s="3" t="str">
        <x:v>电视提示词档案｜区分文生视频、图生视频与首帧提示词</x:v>
      </x:c>
      <x:c r="D1" s="3" t="str">
        <x:v>电视提示词档案｜区分文生视频、图生视频与首帧提示词</x:v>
      </x:c>
      <x:c r="E1" s="3" t="str">
        <x:v>电视提示词档案｜区分文生视频、图生视频与首帧提示词</x:v>
      </x:c>
      <x:c r="F1" s="3" t="str">
        <x:v>电视提示词档案｜区分文生视频、图生视频与首帧提示词</x:v>
      </x:c>
      <x:c r="G1" s="3" t="str">
        <x:v>电视提示词档案｜区分文生视频、图生视频与首帧提示词</x:v>
      </x:c>
      <x:c r="H1" s="3" t="str">
        <x:v>电视提示词档案｜区分文生视频、图生视频与首帧提示词</x:v>
      </x:c>
    </x:row>
    <x:row r="3" ht="30" customHeight="1">
      <x:c r="A3" s="10" t="str">
        <x:v>案例ID</x:v>
      </x:c>
      <x:c r="B3" s="15" t="str">
        <x:v>完整文生视频提示词</x:v>
      </x:c>
      <x:c r="C3" s="15" t="str">
        <x:v>图生视频提示词</x:v>
      </x:c>
      <x:c r="D3" s="15" t="str">
        <x:v>首帧提示词</x:v>
      </x:c>
      <x:c r="E3" s="15" t="str">
        <x:v>负面提示词</x:v>
      </x:c>
      <x:c r="F3" s="15" t="str">
        <x:v>参考图片</x:v>
      </x:c>
      <x:c r="G3" s="15" t="str">
        <x:v>文生视频提示词哈希</x:v>
      </x:c>
      <x:c r="H3" s="11" t="str">
        <x:v>图生视频提示词哈希</x:v>
      </x:c>
    </x:row>
    <x:row r="4" ht="300" customHeight="1">
      <x:c r="A4" s="16" t="str">
        <x:v>v01-s01</x:v>
      </x:c>
      <x:c r="B4" s="16" t="str">
        <x:v>生成一条10秒、9:16竖屏、写实装修广告风格的视频。 物体种类：电视；物体形态：65英寸超薄壁挂平板电视。 环境场景：正在重新粉刷的明亮北欧风客厅。覆盖状态：一整张绷紧的矩形透明膜完整覆盖电视，并在四周留出清晰边界。 镜头景别：正面墙体全景；镜头运动：镜头从左向右缓慢横移。 人物或施工状态：无人物，防护施工已经完成。 首帧与产品结构：生成一张9:16竖屏写实商业摄影首帧：正在重新粉刷的明亮北欧风客厅内，一台65英寸超薄壁挂电视固定在浅色墙面。电视上方约12厘米的墙面粘贴一条长度有限、笔直完整的黄色美纹胶带；一整张与胶带同宽的透明PE薄膜永久连接在胶带下沿，从胶带左右端点垂直向下展开，完整覆盖电视屏幕、边框及四周区域。薄膜必须位于电视前方，四边连续、无破口、无分叉、无第二层膜。画面无人物，正面墙体全景，冷色自然日光，真实装修广告质感，不出现文字、标识或水印。 动态过程：以已批准的北欧客厅首帧为起点，保持65英寸壁挂电视、黄色胶带和一体式透明膜的结构完全不变。镜头从左向右缓慢横移，背景产生轻微视差；薄膜只能出现细微自然反光，不得移动、撕裂或消失。全程电视位于同一张透明膜后方，胶带与膜上沿连续连接，禁止人物进入、禁止安装动作、禁止新增胶带、禁止屏幕裸露、禁止文字和标识。 全程硬性要求：透明PE薄膜必须始终是一整张连续完整的薄膜，并永久连接在同一条笔直黄色美纹胶带的整个下沿；目标物必须始终完整位于薄膜后方。不得出现孔洞、撕裂、分叉、重复薄膜、额外胶带、目标物裸露、文字、标识或水印。</x:v>
      </x:c>
      <x:c r="C4" s="16" t="str">
        <x:v>以已批准的北欧客厅首帧为起点，保持65英寸壁挂电视、黄色胶带和一体式透明膜的结构完全不变。镜头从左向右缓慢横移，背景产生轻微视差；薄膜只能出现细微自然反光，不得移动、撕裂或消失。全程电视位于同一张透明膜后方，胶带与膜上沿连续连接，禁止人物进入、禁止安装动作、禁止新增胶带、禁止屏幕裸露、禁止文字和标识。</x:v>
      </x:c>
      <x:c r="D4" s="16" t="str">
        <x:v>生成一张9:16竖屏写实商业摄影首帧：正在重新粉刷的明亮北欧风客厅内，一台65英寸超薄壁挂电视固定在浅色墙面。电视上方约12厘米的墙面粘贴一条长度有限、笔直完整的黄色美纹胶带；一整张与胶带同宽的透明PE薄膜永久连接在胶带下沿，从胶带左右端点垂直向下展开，完整覆盖电视屏幕、边框及四周区域。薄膜必须位于电视前方，四边连续、无破口、无分叉、无第二层膜。画面无人物，正面墙体全景，冷色自然日光，真实装修广告质感，不出现文字、标识或水印。</x:v>
      </x:c>
      <x:c r="E4" s="16" t="str">
        <x:v>破膜、裂口、分叉、双层膜、额外胶带、胶带贴在电视上、电视裸露、人物、安装动作、文字、标识、水印</x:v>
      </x:c>
      <x:c r="F4" s="16" t="str">
        <x:v>../../04_电视_墙面固定_完整膜返工/技术记录（不用看）/approved-candidates/电视完整膜基准.png</x:v>
      </x:c>
      <x:c r="G4" s="16" t="str">
        <x:v>4608463e01bf6f70</x:v>
      </x:c>
      <x:c r="H4" s="16" t="str">
        <x:v>365df2c1d064cfcd</x:v>
      </x:c>
    </x:row>
    <x:row r="5" ht="300" customHeight="1">
      <x:c r="A5" s="16" t="str">
        <x:v>v02-s01</x:v>
      </x:c>
      <x:c r="B5" s="16" t="str">
        <x:v>生成一条10秒、9:16竖屏、写实装修广告风格的视频。 物体种类：电视；物体形态：43英寸紧凑型壁挂平板电视。 环境场景：正在翻新的暖色精品酒店客房。覆盖状态：透明膜完整覆盖电视，侧边和下沿呈轻微自然垂坠。 镜头景别：从右侧拍摄的四分之三中景；镜头运动：镜头缓慢向右移动，产生克制的空间视差。 人物或施工状态：专业欧美油漆工跪在画面左侧，只观察胶带边缘且不触碰产品。 首帧与产品结构：生成一张9:16竖屏写实商业摄影首帧：暖色精品酒店客房正在翻新，一台43英寸紧凑型壁挂电视安装在床头墙面。电视上方约10厘米的墙面粘贴一条笔直、长度有限的黄色美纹胶带；同宽透明PE薄膜永久连接在胶带整个下沿，作为一整张连续薄膜覆盖电视屏幕和边框，左右及下沿有轻微自然垂坠但没有开口。画面左侧是一名穿白色工作服的专业欧美男油漆工，跪姿观察胶带边缘，不接触、不遮挡产品。右侧四分之三中景，暖色实用灯光与柔和日光结合，无文字、标识或水印。 动态过程：以已批准的酒店客房首帧为起点，保持43英寸电视、跪姿油漆工以及胶带与薄膜的一体式结构不变。镜头缓慢向右移动，产生克制的空间视差；油漆工只把视线从薄膜下沿移向黄色胶带，并轻微点头，不触碰产品。薄膜始终是一整张连续材料，左右端点与胶带对齐，电视全程位于膜后。禁止撕裂、第二层膜、额外胶带、手部接触、屏幕裸露、人物遮挡、说话口型、文字和标识。 全程硬性要求：透明PE薄膜必须始终是一整张连续完整的薄膜，并永久连接在同一条笔直黄色美纹胶带的整个下沿；目标物必须始终完整位于薄膜后方。不得出现孔洞、撕裂、分叉、重复薄膜、额外胶带、目标物裸露、文字、标识或水印。</x:v>
      </x:c>
      <x:c r="C5" s="16" t="str">
        <x:v>以已批准的酒店客房首帧为起点，保持43英寸电视、跪姿油漆工以及胶带与薄膜的一体式结构不变。镜头缓慢向右移动，产生克制的空间视差；油漆工只把视线从薄膜下沿移向黄色胶带，并轻微点头，不触碰产品。薄膜始终是一整张连续材料，左右端点与胶带对齐，电视全程位于膜后。禁止撕裂、第二层膜、额外胶带、手部接触、屏幕裸露、人物遮挡、说话口型、文字和标识。</x:v>
      </x:c>
      <x:c r="D5" s="16" t="str">
        <x:v>生成一张9:16竖屏写实商业摄影首帧：暖色精品酒店客房正在翻新，一台43英寸紧凑型壁挂电视安装在床头墙面。电视上方约10厘米的墙面粘贴一条笔直、长度有限的黄色美纹胶带；同宽透明PE薄膜永久连接在胶带整个下沿，作为一整张连续薄膜覆盖电视屏幕和边框，左右及下沿有轻微自然垂坠但没有开口。画面左侧是一名穿白色工作服的专业欧美男油漆工，跪姿观察胶带边缘，不接触、不遮挡产品。右侧四分之三中景，暖色实用灯光与柔和日光结合，无文字、标识或水印。</x:v>
      </x:c>
      <x:c r="E5" s="16" t="str">
        <x:v>手触碰薄膜、撕裂塑料、额外胶带、人物遮挡电视、电视裸露、双层膜、说话口型、文字、标识、水印</x:v>
      </x:c>
      <x:c r="F5" s="16" t="str">
        <x:v>../../04_电视_墙面固定_完整膜返工/技术记录（不用看）/approved-candidates/电视完整膜基准.png</x:v>
      </x:c>
      <x:c r="G5" s="16" t="str">
        <x:v>4cb8aea4db242032</x:v>
      </x:c>
      <x:c r="H5" s="16" t="str">
        <x:v>8c9b3e0b2372ea58</x:v>
      </x:c>
    </x:row>
    <x:row r="6" ht="300" customHeight="1">
      <x:c r="A6" s="16" t="str">
        <x:v>v03-s01</x:v>
      </x:c>
      <x:c r="B6" s="16" t="str">
        <x:v>生成一条10秒、9:16竖屏、写实装修广告风格的视频。 物体种类：电视；物体形态：75英寸超宽壁挂平板电视。 环境场景：带白色安装墙面的工业风阁楼影音区。覆盖状态：宽幅透明膜完整覆盖电视，左右留出宽边，下沿轻微绷紧。 镜头景别：低机位广角镜头；镜头运动：镜头从下方电视柜缓慢向上抬升至黄色胶带。 人物或施工状态：专业欧美油漆工站在画面最右侧，在防护区域旁做展示手势。 首帧与产品结构：生成一张9:16竖屏写实商业摄影首帧：工业风阁楼影音区内，一台75英寸超宽壁挂电视安装在平整白色墙板上。电视上方约15厘米处粘贴一条水平、笔直、长度有限的黄色美纹胶带；一整张宽幅透明PE膜与胶带下沿全长永久连接，左右端点严格对齐，薄膜覆盖整台电视并在左右留下清晰宽边，下沿轻微绷紧。专业欧美男油漆工站在画面最右侧，在薄膜边界之外做开放手掌展示动作，不接触、不遮挡电视。低机位广角构图，工业风黑色电视柜位于前景，无文字、标识或水印。 动态过程：以已批准的工业风阁楼首帧为起点，保持75英寸电视、站立油漆工和整幅一体式防尘膜完全不变。镜头从黑色电视柜开始，缓慢向上抬升至黄色胶带；油漆工只在薄膜边界外做一次幅度很小的开放手掌展示动作。电视全程位于一整张连续透明膜后，膜面不得逐渐消失，胶带和薄膜端点始终对齐。禁止环绕运镜、破膜、双层膜、胶带悬空、额外胶带、电视裸露、人物遮挡、说话、文字和标识。 全程硬性要求：透明PE薄膜必须始终是一整张连续完整的薄膜，并永久连接在同一条笔直黄色美纹胶带的整个下沿；目标物必须始终完整位于薄膜后方。不得出现孔洞、撕裂、分叉、重复薄膜、额外胶带、目标物裸露、文字、标识或水印。</x:v>
      </x:c>
      <x:c r="C6" s="16" t="str">
        <x:v>以已批准的工业风阁楼首帧为起点，保持75英寸电视、站立油漆工和整幅一体式防尘膜完全不变。镜头从黑色电视柜开始，缓慢向上抬升至黄色胶带；油漆工只在薄膜边界外做一次幅度很小的开放手掌展示动作。电视全程位于一整张连续透明膜后，膜面不得逐渐消失，胶带和薄膜端点始终对齐。禁止环绕运镜、破膜、双层膜、胶带悬空、额外胶带、电视裸露、人物遮挡、说话、文字和标识。</x:v>
      </x:c>
      <x:c r="D6" s="16" t="str">
        <x:v>生成一张9:16竖屏写实商业摄影首帧：工业风阁楼影音区内，一台75英寸超宽壁挂电视安装在平整白色墙板上。电视上方约15厘米处粘贴一条水平、笔直、长度有限的黄色美纹胶带；一整张宽幅透明PE膜与胶带下沿全长永久连接，左右端点严格对齐，薄膜覆盖整台电视并在左右留下清晰宽边，下沿轻微绷紧。专业欧美男油漆工站在画面最右侧，在薄膜边界之外做开放手掌展示动作，不接触、不遮挡电视。低机位广角构图，工业风黑色电视柜位于前景，无文字、标识或水印。</x:v>
      </x:c>
      <x:c r="E6" s="16" t="str">
        <x:v>环绕运镜、透明膜消失、破膜、胶带超出薄膜、人物遮挡电视、额外塑料层、电视裸露、文字、标识、水印</x:v>
      </x:c>
      <x:c r="F6" s="16" t="str">
        <x:v>../../04_电视_墙面固定_完整膜返工/技术记录（不用看）/approved-candidates/电视完整膜基准.png</x:v>
      </x:c>
      <x:c r="G6" s="16" t="str">
        <x:v>f00122b818f63193</x:v>
      </x:c>
      <x:c r="H6" s="16" t="str">
        <x:v>c8b6b4f452377c85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3edd716d26341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6" hidden="0" customWidth="1"/>
    <x:col min="4" max="4" width="60" hidden="0" customWidth="1"/>
  </x:cols>
  <x:sheetData>
    <x:row r="1" ht="32" customHeight="1">
      <x:c r="A1" s="3" t="str">
        <x:v>电视淘汰素材索引</x:v>
      </x:c>
      <x:c r="B1" s="3" t="str">
        <x:v>电视淘汰素材索引</x:v>
      </x:c>
      <x:c r="C1" s="3" t="str">
        <x:v>电视淘汰素材索引</x:v>
      </x:c>
      <x:c r="D1" s="3" t="str">
        <x:v>电视淘汰素材索引</x:v>
      </x:c>
    </x:row>
    <x:row r="3" ht="30" customHeight="1">
      <x:c r="A3" s="10" t="str">
        <x:v>来源批次</x:v>
      </x:c>
      <x:c r="B3" s="15" t="str">
        <x:v>案例/类型</x:v>
      </x:c>
      <x:c r="C3" s="15" t="str">
        <x:v>淘汰原因</x:v>
      </x:c>
      <x:c r="D3" s="11" t="str">
        <x:v>垃圾桶或证据路径</x:v>
      </x:c>
    </x:row>
    <x:row r="4">
      <x:c r="A4" s="16" t="str">
        <x:v>历史批次</x:v>
      </x:c>
      <x:c r="B4" s="16" t="str">
        <x:v>胶带误贴电视</x:v>
      </x:c>
      <x:c r="C4" s="16" t="str">
        <x:v>承载面错误</x:v>
      </x:c>
      <x:c r="D4" s="16" t="str">
        <x:v>99_垃圾桶（可回顾）/历史场景/01_电视_错误示例_胶带贴电视</x:v>
      </x:c>
    </x:row>
    <x:row r="5">
      <x:c r="A5" s="16" t="str">
        <x:v>历史批次</x:v>
      </x:c>
      <x:c r="B5" s="16" t="str">
        <x:v>墙面固定旧批次</x:v>
      </x:c>
      <x:c r="C5" s="16" t="str">
        <x:v>膜未完整覆盖、边界不连贯</x:v>
      </x:c>
      <x:c r="D5" s="16" t="str">
        <x:v>99_垃圾桶（可回顾）/历史场景/02_电视_墙面固定</x:v>
      </x:c>
    </x:row>
    <x:row r="6">
      <x:c r="A6" s="16" t="str">
        <x:v>完整膜返工案例02</x:v>
      </x:c>
      <x:c r="B6" s="16" t="str">
        <x:v>同构随机性测试</x:v>
      </x:c>
      <x:c r="C6" s="16" t="str">
        <x:v>贯穿全高的双层膜片歧义</x:v>
      </x:c>
      <x:c r="D6" s="16" t="str">
        <x:v>04_电视_墙面固定_完整膜返工/技术记录（不用看）/video-review.json</x:v>
      </x:c>
    </x:row>
    <x:row r="7">
      <x:c r="A7" s="16" t="str">
        <x:v>差异化批次案例03</x:v>
      </x:c>
      <x:c r="B7" s="16" t="str">
        <x:v>工业风电视展示</x:v>
      </x:c>
      <x:c r="C7" s="16" t="str">
        <x:v>约5秒后透明膜逐渐消失，电视重新裸露</x:v>
      </x:c>
      <x:c r="D7" s="16" t="str">
        <x:v>06_电视_差异化场景/技术记录（不用看）/video-review.json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78f018ac7f046ca"/>
  </x:tableParts>
</x:worksheet>
</file>